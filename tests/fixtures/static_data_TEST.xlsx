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lini" sheetId="1" state="visible" r:id="rId1"/>
    <sheet name="Millesimali" sheetId="2" state="visible" r:id="rId2"/>
    <sheet name="Costi" sheetId="3" state="visible" r:id="rId3"/>
    <sheet name="Contatori" sheetId="4" state="visible" r:id="rId4"/>
    <sheet name="Letture_precede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 INQUILINI</t>
        </is>
      </c>
    </row>
    <row r="2">
      <c r="A2" s="2" t="inlineStr">
        <is>
          <t>App.</t>
        </is>
      </c>
      <c r="B2" s="2" t="inlineStr">
        <is>
          <t>Proprietario / Condomino</t>
        </is>
      </c>
      <c r="C2" s="2" t="inlineStr">
        <is>
          <t>Inquilino / Conduttore</t>
        </is>
      </c>
    </row>
    <row r="3">
      <c r="A3" t="n">
        <v>1</v>
      </c>
      <c r="B3" t="inlineStr">
        <is>
          <t>Rossi Mario</t>
        </is>
      </c>
      <c r="C3" t="inlineStr">
        <is>
          <t>Bianchi Anna</t>
        </is>
      </c>
    </row>
    <row r="4">
      <c r="A4" t="n">
        <v>2</v>
      </c>
      <c r="B4" t="inlineStr">
        <is>
          <t>Verdi Giuseppe</t>
        </is>
      </c>
      <c r="C4" t="inlineStr">
        <is>
          <t>Neri Luigi</t>
        </is>
      </c>
    </row>
    <row r="5">
      <c r="A5" t="n">
        <v>3</v>
      </c>
      <c r="B5" t="inlineStr">
        <is>
          <t>Gialli Andrea</t>
        </is>
      </c>
      <c r="C5" t="inlineStr">
        <is>
          <t>Blu Marco</t>
        </is>
      </c>
    </row>
    <row r="6">
      <c r="A6" t="n">
        <v>4</v>
      </c>
      <c r="B6" t="inlineStr">
        <is>
          <t>Viola Francesca</t>
        </is>
      </c>
      <c r="C6" t="inlineStr">
        <is>
          <t>Rosa Elena</t>
        </is>
      </c>
    </row>
    <row r="7">
      <c r="A7" t="n">
        <v>5</v>
      </c>
      <c r="B7" t="inlineStr">
        <is>
          <t>Arancio Carlo</t>
        </is>
      </c>
      <c r="C7" t="inlineStr">
        <is>
          <t>Grigio Paolo</t>
        </is>
      </c>
    </row>
    <row r="8">
      <c r="A8" t="n">
        <v>6</v>
      </c>
      <c r="B8" t="inlineStr">
        <is>
          <t>Marrone Sara</t>
        </is>
      </c>
      <c r="C8" t="inlineStr">
        <is>
          <t>Celeste Giulia</t>
        </is>
      </c>
    </row>
    <row r="9">
      <c r="A9" t="n">
        <v>7</v>
      </c>
      <c r="B9" t="inlineStr">
        <is>
          <t>Argento Luca</t>
        </is>
      </c>
      <c r="C9" t="inlineStr">
        <is>
          <t>Oro Maria</t>
        </is>
      </c>
    </row>
    <row r="10">
      <c r="A10" t="n">
        <v>8</v>
      </c>
      <c r="B10" t="inlineStr">
        <is>
          <t>Bronzo Roberto</t>
        </is>
      </c>
      <c r="C10" t="inlineStr">
        <is>
          <t>Platino Chiara</t>
        </is>
      </c>
    </row>
    <row r="11">
      <c r="A11" t="n">
        <v>9</v>
      </c>
      <c r="B11" t="inlineStr">
        <is>
          <t>Rame Alberto</t>
        </is>
      </c>
      <c r="C11" t="inlineStr">
        <is>
          <t>Stagno Laura</t>
        </is>
      </c>
    </row>
    <row r="12">
      <c r="A12" t="n">
        <v>10</v>
      </c>
      <c r="B12" t="inlineStr">
        <is>
          <t>Ferro Antonio</t>
        </is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TABELLE MILLESIMALI</t>
        </is>
      </c>
    </row>
    <row r="2">
      <c r="A2" s="2" t="inlineStr">
        <is>
          <t>App.</t>
        </is>
      </c>
      <c r="B2" s="2" t="inlineStr">
        <is>
          <t>Subalterno</t>
        </is>
      </c>
      <c r="C2" s="2" t="inlineStr">
        <is>
          <t>Energia risc. kWh</t>
        </is>
      </c>
      <c r="D2" s="2" t="inlineStr">
        <is>
          <t>Millesimi risc.</t>
        </is>
      </c>
      <c r="E2" s="2" t="inlineStr">
        <is>
          <t>Energia ACS kWh</t>
        </is>
      </c>
      <c r="F2" s="2" t="inlineStr">
        <is>
          <t>Millesimi ACS</t>
        </is>
      </c>
    </row>
    <row r="3">
      <c r="A3" t="inlineStr">
        <is>
          <t>TOTALE</t>
        </is>
      </c>
      <c r="B3" t="inlineStr"/>
      <c r="C3">
        <f>SUM(C4:C13)</f>
        <v/>
      </c>
      <c r="D3">
        <f>SUM(D4:D13)</f>
        <v/>
      </c>
      <c r="E3">
        <f>SUM(E4:E13)</f>
        <v/>
      </c>
      <c r="F3">
        <f>SUM(F4:F13)</f>
        <v/>
      </c>
    </row>
    <row r="4">
      <c r="A4" t="n">
        <v>1</v>
      </c>
      <c r="B4" t="n">
        <v>20</v>
      </c>
      <c r="C4" t="n">
        <v>1344.03</v>
      </c>
      <c r="D4">
        <f>C4/$C$3*1000</f>
        <v/>
      </c>
      <c r="E4" t="n">
        <v>1101.36</v>
      </c>
      <c r="F4">
        <f>E4/$E$3*1000</f>
        <v/>
      </c>
    </row>
    <row r="5">
      <c r="A5" t="n">
        <v>2</v>
      </c>
      <c r="B5" t="n">
        <v>21</v>
      </c>
      <c r="C5" t="n">
        <v>2595.68</v>
      </c>
      <c r="D5">
        <f>C5/$C$3*1000</f>
        <v/>
      </c>
      <c r="E5" t="n">
        <v>1297.82</v>
      </c>
      <c r="F5">
        <f>E5/$E$3*1000</f>
        <v/>
      </c>
    </row>
    <row r="6">
      <c r="A6" t="n">
        <v>3</v>
      </c>
      <c r="B6" t="n">
        <v>22</v>
      </c>
      <c r="C6" t="n">
        <v>523.16</v>
      </c>
      <c r="D6">
        <f>C6/$C$3*1000</f>
        <v/>
      </c>
      <c r="E6" t="n">
        <v>1090.45</v>
      </c>
      <c r="F6">
        <f>E6/$E$3*1000</f>
        <v/>
      </c>
    </row>
    <row r="7">
      <c r="A7" t="n">
        <v>4</v>
      </c>
      <c r="B7" t="n">
        <v>23</v>
      </c>
      <c r="C7" t="n">
        <v>918.27</v>
      </c>
      <c r="D7">
        <f>C7/$C$3*1000</f>
        <v/>
      </c>
      <c r="E7" t="n">
        <v>1204.33</v>
      </c>
      <c r="F7">
        <f>E7/$E$3*1000</f>
        <v/>
      </c>
    </row>
    <row r="8">
      <c r="A8" t="n">
        <v>5</v>
      </c>
      <c r="B8" t="n">
        <v>24</v>
      </c>
      <c r="C8" t="n">
        <v>1353.01</v>
      </c>
      <c r="D8">
        <f>C8/$C$3*1000</f>
        <v/>
      </c>
      <c r="E8" t="n">
        <v>1085.06</v>
      </c>
      <c r="F8">
        <f>E8/$E$3*1000</f>
        <v/>
      </c>
    </row>
    <row r="9">
      <c r="A9" t="n">
        <v>6</v>
      </c>
      <c r="B9" t="n">
        <v>25</v>
      </c>
      <c r="C9" t="n">
        <v>332.01</v>
      </c>
      <c r="D9">
        <f>C9/$C$3*1000</f>
        <v/>
      </c>
      <c r="E9" t="n">
        <v>1040.11</v>
      </c>
      <c r="F9">
        <f>E9/$E$3*1000</f>
        <v/>
      </c>
    </row>
    <row r="10">
      <c r="A10" t="n">
        <v>7</v>
      </c>
      <c r="B10" t="n">
        <v>26</v>
      </c>
      <c r="C10" t="n">
        <v>624.04</v>
      </c>
      <c r="D10">
        <f>C10/$C$3*1000</f>
        <v/>
      </c>
      <c r="E10" t="n">
        <v>1079.15</v>
      </c>
      <c r="F10">
        <f>E10/$E$3*1000</f>
        <v/>
      </c>
    </row>
    <row r="11">
      <c r="A11" t="n">
        <v>8</v>
      </c>
      <c r="B11" t="n">
        <v>27</v>
      </c>
      <c r="C11" t="n">
        <v>112</v>
      </c>
      <c r="D11">
        <f>C11/$C$3*1000</f>
        <v/>
      </c>
      <c r="E11" t="n">
        <v>1080.55</v>
      </c>
      <c r="F11">
        <f>E11/$E$3*1000</f>
        <v/>
      </c>
    </row>
    <row r="12">
      <c r="A12" t="n">
        <v>9</v>
      </c>
      <c r="B12" t="n">
        <v>28</v>
      </c>
      <c r="C12" t="n">
        <v>1708</v>
      </c>
      <c r="D12">
        <f>C12/$C$3*1000</f>
        <v/>
      </c>
      <c r="E12" t="n">
        <v>1090.5</v>
      </c>
      <c r="F12">
        <f>E12/$E$3*1000</f>
        <v/>
      </c>
    </row>
    <row r="13">
      <c r="A13" t="n">
        <v>10</v>
      </c>
      <c r="B13" t="n">
        <v>29</v>
      </c>
      <c r="C13" t="n">
        <v>2720</v>
      </c>
      <c r="D13">
        <f>C13/$C$3*1000</f>
        <v/>
      </c>
      <c r="E13" t="n">
        <v>1210</v>
      </c>
      <c r="F13">
        <f>E13/$E$3*1000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SPESE E COSTI ANNUALI</t>
        </is>
      </c>
    </row>
    <row r="2">
      <c r="A2" s="2" t="inlineStr">
        <is>
          <t>Voce di spesa</t>
        </is>
      </c>
      <c r="B2" s="2" t="inlineStr">
        <is>
          <t>€ / anno</t>
        </is>
      </c>
    </row>
    <row r="3">
      <c r="A3" t="inlineStr">
        <is>
          <t>Energia elettrica</t>
        </is>
      </c>
      <c r="B3" t="n">
        <v>263.44</v>
      </c>
    </row>
    <row r="4">
      <c r="A4" t="inlineStr">
        <is>
          <t>Gas metano</t>
        </is>
      </c>
      <c r="B4" t="n">
        <v>2141</v>
      </c>
    </row>
    <row r="5">
      <c r="A5" t="inlineStr">
        <is>
          <t>Acqua condominio</t>
        </is>
      </c>
      <c r="B5" t="n">
        <v>0</v>
      </c>
    </row>
    <row r="6">
      <c r="A6" t="inlineStr">
        <is>
          <t>Conduzione e manutenzione</t>
        </is>
      </c>
      <c r="B6" t="n">
        <v>280</v>
      </c>
    </row>
    <row r="7">
      <c r="A7" t="inlineStr">
        <is>
          <t>Contabilizzazione</t>
        </is>
      </c>
      <c r="B7" t="n">
        <v>68.2</v>
      </c>
    </row>
    <row r="8">
      <c r="A8" t="inlineStr">
        <is>
          <t>Acqua sanitaria manutenzione</t>
        </is>
      </c>
      <c r="B8" t="n">
        <v>0</v>
      </c>
    </row>
    <row r="9">
      <c r="A9" t="inlineStr">
        <is>
          <t>TOTALE</t>
        </is>
      </c>
      <c r="B9">
        <f>SUM(B3:B8)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LETTURA CONTATORI PRINCIPALI</t>
        </is>
      </c>
    </row>
    <row r="2">
      <c r="A2" s="2" t="inlineStr">
        <is>
          <t>Contatore</t>
        </is>
      </c>
      <c r="B2" s="2" t="inlineStr">
        <is>
          <t>Unità</t>
        </is>
      </c>
      <c r="C2" s="2" t="inlineStr">
        <is>
          <t>Lettura iniziale</t>
        </is>
      </c>
      <c r="D2" s="2" t="inlineStr">
        <is>
          <t>Lettura finale</t>
        </is>
      </c>
      <c r="E2" s="2" t="inlineStr">
        <is>
          <t>Consumo</t>
        </is>
      </c>
    </row>
    <row r="3">
      <c r="A3" t="inlineStr">
        <is>
          <t>ENERGIA ELETTRICA CT</t>
        </is>
      </c>
      <c r="B3" t="inlineStr">
        <is>
          <t>kWh</t>
        </is>
      </c>
      <c r="C3" t="n">
        <v>0</v>
      </c>
      <c r="D3" t="n">
        <v>1086</v>
      </c>
      <c r="E3">
        <f>D3-C3</f>
        <v/>
      </c>
    </row>
    <row r="4">
      <c r="A4" t="inlineStr">
        <is>
          <t>GAS METANO CT</t>
        </is>
      </c>
      <c r="B4" t="inlineStr">
        <is>
          <t>mc</t>
        </is>
      </c>
      <c r="C4" t="n">
        <v>0</v>
      </c>
      <c r="D4" t="n">
        <v>1718</v>
      </c>
      <c r="E4">
        <f>D4-C4</f>
        <v/>
      </c>
    </row>
    <row r="5">
      <c r="A5" t="inlineStr">
        <is>
          <t>ACQUA GENERALE</t>
        </is>
      </c>
      <c r="B5" t="inlineStr">
        <is>
          <t>mc</t>
        </is>
      </c>
      <c r="C5" t="n">
        <v>0</v>
      </c>
      <c r="D5" t="n">
        <v>680</v>
      </c>
      <c r="E5">
        <f>D5-C5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LETTURE PRECEDENTI</t>
        </is>
      </c>
    </row>
    <row r="2">
      <c r="A2" s="2" t="inlineStr">
        <is>
          <t>App.</t>
        </is>
      </c>
      <c r="B2" s="2" t="inlineStr">
        <is>
          <t>Riscaldamento kWh</t>
        </is>
      </c>
      <c r="C2" s="2" t="inlineStr">
        <is>
          <t>ACS m3</t>
        </is>
      </c>
      <c r="D2" s="2" t="inlineStr">
        <is>
          <t>AFS m3</t>
        </is>
      </c>
    </row>
    <row r="3">
      <c r="A3" t="n">
        <v>1</v>
      </c>
      <c r="B3" t="n">
        <v>4048</v>
      </c>
      <c r="C3" t="n">
        <v>25.5</v>
      </c>
      <c r="D3" t="n">
        <v>10.2</v>
      </c>
    </row>
    <row r="4">
      <c r="A4" t="n">
        <v>2</v>
      </c>
      <c r="B4" t="n">
        <v>4727</v>
      </c>
      <c r="C4" t="n">
        <v>30.1</v>
      </c>
      <c r="D4" t="n">
        <v>12.5</v>
      </c>
    </row>
    <row r="5">
      <c r="A5" t="n">
        <v>3</v>
      </c>
      <c r="B5" t="n">
        <v>621</v>
      </c>
      <c r="C5" t="n">
        <v>15.3</v>
      </c>
      <c r="D5" t="n">
        <v>8</v>
      </c>
    </row>
    <row r="6">
      <c r="A6" t="n">
        <v>4</v>
      </c>
      <c r="B6" t="n">
        <v>922</v>
      </c>
      <c r="C6" t="n">
        <v>20</v>
      </c>
      <c r="D6" t="n">
        <v>9.5</v>
      </c>
    </row>
    <row r="7">
      <c r="A7" t="n">
        <v>5</v>
      </c>
      <c r="B7" t="n">
        <v>102</v>
      </c>
      <c r="C7" t="n">
        <v>18.7</v>
      </c>
      <c r="D7" t="n">
        <v>7.3</v>
      </c>
    </row>
    <row r="8">
      <c r="A8" t="n">
        <v>6</v>
      </c>
      <c r="B8" t="n">
        <v>169</v>
      </c>
      <c r="C8" t="n">
        <v>10.5</v>
      </c>
      <c r="D8" t="n">
        <v>5</v>
      </c>
    </row>
    <row r="9">
      <c r="A9" t="n">
        <v>7</v>
      </c>
      <c r="B9" t="n">
        <v>112</v>
      </c>
      <c r="C9" t="n">
        <v>22</v>
      </c>
      <c r="D9" t="n">
        <v>11</v>
      </c>
    </row>
    <row r="10">
      <c r="A10" t="n">
        <v>8</v>
      </c>
      <c r="B10" t="n">
        <v>1708</v>
      </c>
      <c r="C10" t="n">
        <v>28.3</v>
      </c>
      <c r="D10" t="n">
        <v>14.2</v>
      </c>
    </row>
    <row r="11">
      <c r="A11" t="n">
        <v>9</v>
      </c>
      <c r="B11" t="n">
        <v>2720</v>
      </c>
      <c r="C11" t="n">
        <v>35</v>
      </c>
      <c r="D11" t="n">
        <v>16.8</v>
      </c>
    </row>
    <row r="12">
      <c r="A12" t="n">
        <v>10</v>
      </c>
      <c r="B12" t="n">
        <v>7713</v>
      </c>
      <c r="C12" t="n">
        <v>40</v>
      </c>
      <c r="D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2026-04-14T10:44:13Z</dcterms:created>
  <dcterms:modified xsi:type="dcterms:W3CDTF">2026-04-14T10:44:13Z</dcterms:modified>
</cp:coreProperties>
</file>