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Ripartizione_Termo 02.03.2026" sheetId="1" state="visible" r:id="rId1"/>
    <sheet name="Tabella_2026" sheetId="2" state="visible" r:id="rId2"/>
    <sheet name="Tabelle millesimali" sheetId="3" state="visible" r:id="rId3"/>
  </sheets>
  <definedNames>
    <definedName name="__123Graph_F" hidden="1">#REF!</definedName>
    <definedName name="A">#REF!</definedName>
    <definedName name="aaa">#REF!</definedName>
    <definedName name="b">#REF!</definedName>
    <definedName name="costoacquasanitaria">#REF!</definedName>
    <definedName name="costoafs">#REF!</definedName>
    <definedName name="costoenegiaelettrica">#REF!</definedName>
    <definedName name="D">#REF!</definedName>
    <definedName name="DINO">#REF!</definedName>
    <definedName name="Nom_Nouveau">#REF!</definedName>
    <definedName name="Nom_Quad">#REF!</definedName>
    <definedName name="rate">#REF!</definedName>
    <definedName name="Righe_Rimaste">#REF!</definedName>
    <definedName name="Verifica">#REF!</definedName>
    <definedName name="__123Graph_F" localSheetId="0" hidden="1">#REF!</definedName>
    <definedName name="costoenegiaelettrica" localSheetId="0">'Ripartizione_Termo 02.03.2026'!$C$26</definedName>
    <definedName name="costoafs" localSheetId="1">Tabella_2026!$E$13</definedName>
    <definedName name="costoenegiaelettrica" localSheetId="1">#REF!</definedName>
    <definedName name="costoafs" localSheetId="2">#REF!</definedName>
    <definedName name="costoenegiaelettrica" localSheetId="2">#REF!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"/>
    <numFmt numFmtId="165" formatCode="0.000"/>
    <numFmt numFmtId="166" formatCode="0.0000"/>
    <numFmt numFmtId="167" formatCode="#,##0.0000"/>
    <numFmt numFmtId="168" formatCode="0.0%"/>
    <numFmt numFmtId="169" formatCode="#,##0.000"/>
    <numFmt numFmtId="170" formatCode="_-&quot;€&quot;\ * #,##0.00_-;\-&quot;€&quot;\ * #,##0.00_-;_-&quot;€&quot;\ * &quot;-&quot;??_-;_-@_-"/>
    <numFmt numFmtId="171" formatCode="_-[$€-410]\ * #,##0.00_-;\-[$€-410]\ * #,##0.00_-;_-[$€-410]\ * &quot;-&quot;??_-;_-@_-"/>
    <numFmt numFmtId="172" formatCode="dd/mm/yy;@"/>
    <numFmt numFmtId="173" formatCode="_-* #,##0.00\ [$€-410]_-;\-* #,##0.00\ [$€-410]_-;_-* &quot;-&quot;??\ [$€-410]_-;_-@_-"/>
  </numFmts>
  <fonts count="25">
    <font>
      <name val="Arial"/>
      <sz val="10"/>
    </font>
    <font>
      <name val="Aptos Narrow"/>
      <family val="2"/>
      <color theme="1"/>
      <sz val="11"/>
      <scheme val="minor"/>
    </font>
    <font>
      <name val="Arial Narrow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sz val="11"/>
    </font>
    <font>
      <name val="Arial"/>
      <family val="2"/>
      <b val="1"/>
      <color rgb="FF0066FF"/>
      <sz val="10"/>
    </font>
    <font>
      <name val="Arial"/>
      <family val="2"/>
      <sz val="8"/>
    </font>
    <font>
      <name val="Arial"/>
      <family val="2"/>
      <color rgb="FFFF0000"/>
      <sz val="10"/>
    </font>
    <font>
      <name val="Arial"/>
      <family val="2"/>
      <color rgb="FF0000FF"/>
      <sz val="10"/>
    </font>
    <font>
      <name val="Arial"/>
      <family val="2"/>
      <b val="1"/>
      <sz val="8"/>
    </font>
    <font>
      <name val="Arial"/>
      <family val="2"/>
      <i val="1"/>
      <sz val="10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 Narrow"/>
      <family val="2"/>
      <sz val="9"/>
    </font>
    <font>
      <name val="Aptos Narrow"/>
      <family val="2"/>
      <color rgb="FF333333"/>
      <sz val="10"/>
      <scheme val="minor"/>
    </font>
    <font>
      <name val="Arial"/>
      <family val="2"/>
      <sz val="9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70C0"/>
      <sz val="8"/>
    </font>
    <font>
      <name val="Arial"/>
      <family val="2"/>
      <b val="1"/>
      <color rgb="FFFF0000"/>
      <sz val="8"/>
    </font>
    <font>
      <name val="Aptos Narrow"/>
      <family val="2"/>
      <color rgb="FF333333"/>
      <sz val="11"/>
      <scheme val="minor"/>
    </font>
    <font>
      <name val="Arial"/>
      <family val="2"/>
      <color rgb="FF0070C0"/>
      <sz val="10"/>
    </font>
    <font>
      <name val="Arial"/>
      <family val="2"/>
      <b val="1"/>
      <color rgb="FF0070C0"/>
      <sz val="10"/>
    </font>
  </fonts>
  <fills count="2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0" fontId="3" fillId="0" borderId="0"/>
    <xf numFmtId="0" fontId="1" fillId="0" borderId="0"/>
  </cellStyleXfs>
  <cellXfs count="370"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vertical="center"/>
    </xf>
    <xf numFmtId="3" fontId="0" fillId="2" borderId="6" applyAlignment="1" pivotButton="0" quotePrefix="0" xfId="0">
      <alignment horizontal="center" vertical="center"/>
    </xf>
    <xf numFmtId="164" fontId="0" fillId="2" borderId="6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3" fontId="0" fillId="2" borderId="8" applyAlignment="1" pivotButton="0" quotePrefix="0" xfId="0">
      <alignment horizontal="center" vertical="center"/>
    </xf>
    <xf numFmtId="3" fontId="0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3" fontId="0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3" fontId="6" fillId="0" borderId="5" applyAlignment="1" pivotButton="0" quotePrefix="0" xfId="0">
      <alignment vertical="center"/>
    </xf>
    <xf numFmtId="3" fontId="3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" fontId="6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3" fontId="0" fillId="0" borderId="5" applyAlignment="1" pivotButton="0" quotePrefix="0" xfId="0">
      <alignment vertical="center"/>
    </xf>
    <xf numFmtId="165" fontId="3" fillId="0" borderId="5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4" fontId="0" fillId="0" borderId="5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166" fontId="4" fillId="0" borderId="9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3" fontId="0" fillId="0" borderId="9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" fontId="4" fillId="0" borderId="5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167" fontId="0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167" fontId="0" fillId="0" borderId="15" applyAlignment="1" pivotButton="0" quotePrefix="0" xfId="0">
      <alignment vertical="center"/>
    </xf>
    <xf numFmtId="4" fontId="0" fillId="0" borderId="12" applyAlignment="1" pivotButton="0" quotePrefix="0" xfId="0">
      <alignment vertical="center"/>
    </xf>
    <xf numFmtId="4" fontId="0" fillId="0" borderId="9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8" fontId="0" fillId="0" borderId="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horizontal="center" vertical="center"/>
    </xf>
    <xf numFmtId="4" fontId="4" fillId="0" borderId="17" applyAlignment="1" pivotButton="0" quotePrefix="0" xfId="0">
      <alignment vertical="center"/>
    </xf>
    <xf numFmtId="168" fontId="4" fillId="0" borderId="18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3" fontId="0" fillId="0" borderId="20" applyAlignment="1" applyProtection="1" pivotButton="0" quotePrefix="0" xfId="0">
      <alignment horizontal="center" vertical="center"/>
      <protection locked="0" hidden="0"/>
    </xf>
    <xf numFmtId="3" fontId="0" fillId="0" borderId="20" applyAlignment="1" pivotButton="0" quotePrefix="0" xfId="0">
      <alignment horizontal="center" vertical="center"/>
    </xf>
    <xf numFmtId="2" fontId="0" fillId="0" borderId="21" applyAlignment="1" pivotButton="0" quotePrefix="0" xfId="0">
      <alignment horizontal="center" vertical="center"/>
    </xf>
    <xf numFmtId="0" fontId="3" fillId="5" borderId="22" applyAlignment="1" pivotButton="0" quotePrefix="0" xfId="0">
      <alignment vertical="center"/>
    </xf>
    <xf numFmtId="3" fontId="0" fillId="5" borderId="23" applyAlignment="1" pivotButton="0" quotePrefix="0" xfId="0">
      <alignment horizontal="center" vertical="center"/>
    </xf>
    <xf numFmtId="2" fontId="0" fillId="5" borderId="24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3" fontId="5" fillId="0" borderId="26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4" fontId="0" fillId="0" borderId="20" applyAlignment="1" pivotButton="0" quotePrefix="0" xfId="0">
      <alignment horizontal="center" vertical="center"/>
    </xf>
    <xf numFmtId="164" fontId="0" fillId="5" borderId="23" applyAlignment="1" pivotButton="0" quotePrefix="0" xfId="0">
      <alignment horizontal="center" vertical="center"/>
    </xf>
    <xf numFmtId="4" fontId="0" fillId="5" borderId="2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0" fontId="0" fillId="8" borderId="2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169" fontId="0" fillId="0" borderId="20" applyAlignment="1" pivotButton="0" quotePrefix="0" xfId="0">
      <alignment horizontal="center" vertical="center"/>
    </xf>
    <xf numFmtId="169" fontId="0" fillId="5" borderId="23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2" fontId="4" fillId="0" borderId="26" applyAlignment="1" pivotButton="0" quotePrefix="0" xfId="0">
      <alignment horizontal="center" vertical="center"/>
    </xf>
    <xf numFmtId="3" fontId="4" fillId="0" borderId="26" applyAlignment="1" pivotButton="0" quotePrefix="0" xfId="0">
      <alignment horizontal="center" vertical="center"/>
    </xf>
    <xf numFmtId="4" fontId="4" fillId="0" borderId="27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3" fontId="0" fillId="0" borderId="5" applyAlignment="1" pivotButton="0" quotePrefix="0" xfId="0">
      <alignment horizontal="center" vertical="center"/>
    </xf>
    <xf numFmtId="3" fontId="0" fillId="0" borderId="9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vertical="center"/>
    </xf>
    <xf numFmtId="2" fontId="0" fillId="0" borderId="27" applyAlignment="1" pivotButton="0" quotePrefix="0" xfId="0">
      <alignment vertical="center"/>
    </xf>
    <xf numFmtId="169" fontId="0" fillId="0" borderId="20" applyAlignment="1" applyProtection="1" pivotButton="0" quotePrefix="0" xfId="0">
      <alignment horizontal="center" vertical="center"/>
      <protection locked="0" hidden="0"/>
    </xf>
    <xf numFmtId="169" fontId="4" fillId="0" borderId="26" applyAlignment="1" pivotButton="0" quotePrefix="0" xfId="0">
      <alignment vertical="center"/>
    </xf>
    <xf numFmtId="0" fontId="4" fillId="10" borderId="28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12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4" fontId="4" fillId="11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4" fontId="0" fillId="0" borderId="19" applyAlignment="1" pivotButton="0" quotePrefix="0" xfId="0">
      <alignment horizontal="center" vertical="center"/>
    </xf>
    <xf numFmtId="4" fontId="0" fillId="0" borderId="21" applyAlignment="1" pivotButton="0" quotePrefix="0" xfId="0">
      <alignment horizontal="center" vertical="center"/>
    </xf>
    <xf numFmtId="4" fontId="0" fillId="0" borderId="36" applyAlignment="1" pivotButton="0" quotePrefix="0" xfId="0">
      <alignment horizontal="center" vertical="center"/>
    </xf>
    <xf numFmtId="4" fontId="0" fillId="5" borderId="22" applyAlignment="1" pivotButton="0" quotePrefix="0" xfId="0">
      <alignment horizontal="center" vertical="center"/>
    </xf>
    <xf numFmtId="4" fontId="0" fillId="5" borderId="24" applyAlignment="1" pivotButton="0" quotePrefix="0" xfId="0">
      <alignment horizontal="center" vertical="center"/>
    </xf>
    <xf numFmtId="4" fontId="0" fillId="5" borderId="37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4" fontId="0" fillId="0" borderId="38" applyAlignment="1" pivotButton="0" quotePrefix="0" xfId="0">
      <alignment horizontal="center" vertical="center"/>
    </xf>
    <xf numFmtId="4" fontId="4" fillId="2" borderId="25" applyAlignment="1" pivotButton="0" quotePrefix="0" xfId="0">
      <alignment horizontal="center" vertical="center"/>
    </xf>
    <xf numFmtId="4" fontId="4" fillId="0" borderId="39" applyAlignment="1" pivotButton="0" quotePrefix="0" xfId="0">
      <alignment horizontal="center" vertical="center"/>
    </xf>
    <xf numFmtId="4" fontId="4" fillId="9" borderId="39" applyAlignment="1" pivotButton="0" quotePrefix="0" xfId="0">
      <alignment horizontal="center" vertical="center"/>
    </xf>
    <xf numFmtId="0" fontId="0" fillId="14" borderId="0" applyAlignment="1" pivotButton="0" quotePrefix="0" xfId="0">
      <alignment vertical="center"/>
    </xf>
    <xf numFmtId="0" fontId="12" fillId="7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2" fontId="0" fillId="0" borderId="6" pivotButton="0" quotePrefix="0" xfId="0"/>
    <xf numFmtId="2" fontId="0" fillId="7" borderId="6" applyProtection="1" pivotButton="0" quotePrefix="0" xfId="0">
      <protection locked="0" hidden="0"/>
    </xf>
    <xf numFmtId="2" fontId="0" fillId="0" borderId="0" pivotButton="0" quotePrefix="0" xfId="0"/>
    <xf numFmtId="0" fontId="4" fillId="0" borderId="0" applyAlignment="1" pivotButton="0" quotePrefix="0" xfId="0">
      <alignment horizontal="center"/>
    </xf>
    <xf numFmtId="14" fontId="0" fillId="16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70" fontId="0" fillId="0" borderId="6" pivotButton="0" quotePrefix="0" xfId="0"/>
    <xf numFmtId="0" fontId="0" fillId="0" borderId="6" pivotButton="0" quotePrefix="0" xfId="0"/>
    <xf numFmtId="170" fontId="0" fillId="0" borderId="6" pivotButton="0" quotePrefix="0" xfId="1"/>
    <xf numFmtId="170" fontId="0" fillId="0" borderId="6" applyProtection="1" pivotButton="0" quotePrefix="0" xfId="1">
      <protection locked="0" hidden="0"/>
    </xf>
    <xf numFmtId="0" fontId="3" fillId="0" borderId="6" pivotButton="0" quotePrefix="0" xfId="0"/>
    <xf numFmtId="170" fontId="0" fillId="7" borderId="6" applyProtection="1" pivotButton="0" quotePrefix="0" xfId="1">
      <protection locked="0" hidden="0"/>
    </xf>
    <xf numFmtId="170" fontId="3" fillId="0" borderId="6" pivotButton="0" quotePrefix="0" xfId="1"/>
    <xf numFmtId="171" fontId="0" fillId="7" borderId="6" pivotButton="0" quotePrefix="0" xfId="0"/>
    <xf numFmtId="0" fontId="3" fillId="0" borderId="43" applyAlignment="1" applyProtection="1" pivotButton="0" quotePrefix="0" xfId="0">
      <alignment vertical="center"/>
      <protection locked="1" hidden="1"/>
    </xf>
    <xf numFmtId="0" fontId="3" fillId="0" borderId="20" applyAlignment="1" applyProtection="1" pivotButton="0" quotePrefix="0" xfId="0">
      <alignment vertical="center"/>
      <protection locked="1" hidden="1"/>
    </xf>
    <xf numFmtId="0" fontId="2" fillId="0" borderId="20" applyAlignment="1" applyProtection="1" pivotButton="0" quotePrefix="0" xfId="0">
      <alignment horizontal="center" vertical="center" wrapText="1"/>
      <protection locked="1" hidden="1"/>
    </xf>
    <xf numFmtId="0" fontId="3" fillId="0" borderId="0" applyProtection="1" pivotButton="0" quotePrefix="0" xfId="0">
      <protection locked="1" hidden="1"/>
    </xf>
    <xf numFmtId="0" fontId="3" fillId="0" borderId="44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3" fillId="0" borderId="45" applyAlignment="1" applyProtection="1" pivotButton="0" quotePrefix="0" xfId="0">
      <alignment vertical="center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3" fontId="3" fillId="0" borderId="2" applyAlignment="1" applyProtection="1" pivotButton="0" quotePrefix="0" xfId="0">
      <alignment horizontal="center" vertical="center"/>
      <protection locked="1" hidden="1"/>
    </xf>
    <xf numFmtId="3" fontId="3" fillId="0" borderId="46" applyAlignment="1" applyProtection="1" pivotButton="0" quotePrefix="0" xfId="0">
      <alignment horizontal="center" vertical="center"/>
      <protection locked="1" hidden="1"/>
    </xf>
    <xf numFmtId="0" fontId="16" fillId="7" borderId="6" applyAlignment="1" applyProtection="1" pivotButton="0" quotePrefix="0" xfId="0">
      <alignment horizontal="left" vertical="center"/>
      <protection locked="1" hidden="1"/>
    </xf>
    <xf numFmtId="0" fontId="16" fillId="2" borderId="6" applyAlignment="1" applyProtection="1" pivotButton="0" quotePrefix="0" xfId="0">
      <alignment horizontal="center" vertical="center"/>
      <protection locked="1" hidden="1"/>
    </xf>
    <xf numFmtId="3" fontId="17" fillId="17" borderId="6" applyAlignment="1" applyProtection="1" pivotButton="0" quotePrefix="0" xfId="0">
      <alignment horizontal="center" vertical="center"/>
      <protection locked="1" hidden="1"/>
    </xf>
    <xf numFmtId="164" fontId="3" fillId="7" borderId="6" applyAlignment="1" applyProtection="1" pivotButton="0" quotePrefix="0" xfId="0">
      <alignment horizontal="center" vertical="center"/>
      <protection locked="1" hidden="1"/>
    </xf>
    <xf numFmtId="3" fontId="3" fillId="17" borderId="6" applyAlignment="1" applyProtection="1" pivotButton="0" quotePrefix="0" xfId="0">
      <alignment horizontal="center" vertical="center"/>
      <protection locked="1" hidden="1"/>
    </xf>
    <xf numFmtId="0" fontId="16" fillId="2" borderId="6" applyAlignment="1" applyProtection="1" pivotButton="0" quotePrefix="0" xfId="0">
      <alignment horizontal="left" vertical="center"/>
      <protection locked="1" hidden="1"/>
    </xf>
    <xf numFmtId="0" fontId="3" fillId="7" borderId="6" applyAlignment="1" applyProtection="1" pivotButton="0" quotePrefix="0" xfId="0">
      <alignment vertical="center"/>
      <protection locked="1" hidden="1"/>
    </xf>
    <xf numFmtId="0" fontId="3" fillId="2" borderId="6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47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165" fontId="3" fillId="0" borderId="48" applyAlignment="1" applyProtection="1" pivotButton="0" quotePrefix="0" xfId="0">
      <alignment horizontal="center"/>
      <protection locked="1" hidden="1"/>
    </xf>
    <xf numFmtId="165" fontId="3" fillId="0" borderId="0" applyAlignment="1" applyProtection="1" pivotButton="0" quotePrefix="0" xfId="0">
      <alignment horizontal="center"/>
      <protection locked="1" hidden="1"/>
    </xf>
    <xf numFmtId="4" fontId="0" fillId="0" borderId="6" applyAlignment="1" pivotButton="0" quotePrefix="0" xfId="0">
      <alignment vertical="center"/>
    </xf>
    <xf numFmtId="4" fontId="0" fillId="0" borderId="6" applyAlignment="1" pivotButton="0" quotePrefix="0" xfId="1">
      <alignment vertical="center"/>
    </xf>
    <xf numFmtId="170" fontId="4" fillId="7" borderId="6" applyAlignment="1" pivotButton="0" quotePrefix="0" xfId="1">
      <alignment vertical="center"/>
    </xf>
    <xf numFmtId="4" fontId="4" fillId="7" borderId="6" applyAlignment="1" pivotButton="0" quotePrefix="0" xfId="1">
      <alignment vertical="center"/>
    </xf>
    <xf numFmtId="0" fontId="4" fillId="7" borderId="0" applyAlignment="1" pivotButton="0" quotePrefix="0" xfId="0">
      <alignment horizontal="center" vertical="center" wrapText="1"/>
    </xf>
    <xf numFmtId="169" fontId="4" fillId="5" borderId="23" applyAlignment="1" pivotButton="0" quotePrefix="0" xfId="0">
      <alignment horizontal="center" vertical="center"/>
    </xf>
    <xf numFmtId="169" fontId="4" fillId="0" borderId="20" applyAlignment="1" pivotButton="0" quotePrefix="0" xfId="0">
      <alignment horizontal="center" vertical="center"/>
    </xf>
    <xf numFmtId="169" fontId="4" fillId="0" borderId="26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0" fontId="3" fillId="20" borderId="19" applyAlignment="1" pivotButton="0" quotePrefix="0" xfId="0">
      <alignment vertical="center"/>
    </xf>
    <xf numFmtId="169" fontId="0" fillId="6" borderId="23" applyAlignment="1" applyProtection="1" pivotButton="0" quotePrefix="0" xfId="0">
      <alignment horizontal="center" vertical="center"/>
      <protection locked="0" hidden="0"/>
    </xf>
    <xf numFmtId="0" fontId="3" fillId="2" borderId="19" applyAlignment="1" pivotButton="0" quotePrefix="0" xfId="0">
      <alignment vertical="center"/>
    </xf>
    <xf numFmtId="0" fontId="4" fillId="18" borderId="0" applyAlignment="1" pivotButton="0" quotePrefix="0" xfId="0">
      <alignment horizontal="center" vertical="center"/>
    </xf>
    <xf numFmtId="2" fontId="4" fillId="18" borderId="2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15" borderId="5" applyAlignment="1" pivotButton="0" quotePrefix="0" xfId="0">
      <alignment horizontal="center" vertical="center"/>
    </xf>
    <xf numFmtId="2" fontId="4" fillId="15" borderId="27" applyAlignment="1" pivotButton="0" quotePrefix="0" xfId="0">
      <alignment horizontal="center" vertical="center"/>
    </xf>
    <xf numFmtId="4" fontId="5" fillId="15" borderId="27" applyAlignment="1" pivotButton="0" quotePrefix="0" xfId="0">
      <alignment horizontal="center" vertical="center"/>
    </xf>
    <xf numFmtId="3" fontId="0" fillId="6" borderId="23" applyAlignment="1" applyProtection="1" pivotButton="0" quotePrefix="0" xfId="0">
      <alignment horizontal="center" vertical="center"/>
      <protection locked="0" hidden="0"/>
    </xf>
    <xf numFmtId="0" fontId="4" fillId="5" borderId="22" applyAlignment="1" pivotButton="0" quotePrefix="0" xfId="0">
      <alignment vertical="center"/>
    </xf>
    <xf numFmtId="169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4" fillId="7" borderId="6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4" fontId="4" fillId="18" borderId="49" applyAlignment="1" pivotButton="0" quotePrefix="0" xfId="0">
      <alignment vertical="center"/>
    </xf>
    <xf numFmtId="0" fontId="3" fillId="0" borderId="48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4" fontId="4" fillId="18" borderId="47" applyAlignment="1" pivotButton="0" quotePrefix="0" xfId="0">
      <alignment vertical="center"/>
    </xf>
    <xf numFmtId="0" fontId="3" fillId="0" borderId="51" applyAlignment="1" pivotButton="0" quotePrefix="0" xfId="0">
      <alignment horizontal="center" vertical="center"/>
    </xf>
    <xf numFmtId="171" fontId="0" fillId="0" borderId="23" pivotButton="0" quotePrefix="0" xfId="0"/>
    <xf numFmtId="0" fontId="4" fillId="0" borderId="0" pivotButton="0" quotePrefix="0" xfId="0"/>
    <xf numFmtId="0" fontId="5" fillId="21" borderId="1" applyAlignment="1" pivotButton="0" quotePrefix="0" xfId="0">
      <alignment vertical="center"/>
    </xf>
    <xf numFmtId="0" fontId="4" fillId="22" borderId="1" applyAlignment="1" pivotButton="0" quotePrefix="0" xfId="0">
      <alignment vertical="center"/>
    </xf>
    <xf numFmtId="0" fontId="4" fillId="22" borderId="4" applyAlignment="1" pivotButton="0" quotePrefix="0" xfId="0">
      <alignment vertical="center"/>
    </xf>
    <xf numFmtId="0" fontId="4" fillId="23" borderId="1" applyAlignment="1" pivotButton="0" quotePrefix="0" xfId="0">
      <alignment vertical="center"/>
    </xf>
    <xf numFmtId="14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4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4" fontId="3" fillId="24" borderId="2" applyAlignment="1" pivotButton="0" quotePrefix="0" xfId="0">
      <alignment horizontal="center" vertical="center"/>
    </xf>
    <xf numFmtId="0" fontId="3" fillId="25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/>
    </xf>
    <xf numFmtId="2" fontId="4" fillId="7" borderId="6" applyProtection="1" pivotButton="0" quotePrefix="0" xfId="0">
      <protection locked="0" hidden="0"/>
    </xf>
    <xf numFmtId="0" fontId="11" fillId="0" borderId="0" applyAlignment="1" pivotButton="0" quotePrefix="1" xfId="0">
      <alignment vertical="center"/>
    </xf>
    <xf numFmtId="4" fontId="7" fillId="7" borderId="5" applyAlignment="1" applyProtection="1" pivotButton="0" quotePrefix="0" xfId="0">
      <alignment vertical="center"/>
      <protection locked="0" hidden="0"/>
    </xf>
    <xf numFmtId="0" fontId="4" fillId="7" borderId="2" applyAlignment="1" applyProtection="1" pivotButton="0" quotePrefix="0" xfId="0">
      <alignment vertical="center"/>
      <protection locked="0" hidden="0"/>
    </xf>
    <xf numFmtId="0" fontId="4" fillId="7" borderId="0" applyAlignment="1" applyProtection="1" pivotButton="0" quotePrefix="0" xfId="0">
      <alignment vertical="center"/>
      <protection locked="0" hidden="0"/>
    </xf>
    <xf numFmtId="4" fontId="4" fillId="0" borderId="26" applyAlignment="1" pivotButton="0" quotePrefix="0" xfId="0">
      <alignment horizontal="center" vertical="center"/>
    </xf>
    <xf numFmtId="0" fontId="22" fillId="26" borderId="0" applyAlignment="1" pivotButton="0" quotePrefix="0" xfId="2">
      <alignment horizontal="left"/>
    </xf>
    <xf numFmtId="3" fontId="5" fillId="18" borderId="26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4" fontId="4" fillId="18" borderId="0" applyAlignment="1" pivotButton="0" quotePrefix="0" xfId="0">
      <alignment horizontal="center" vertical="center"/>
    </xf>
    <xf numFmtId="3" fontId="5" fillId="26" borderId="26" applyAlignment="1" pivotButton="0" quotePrefix="0" xfId="0">
      <alignment horizontal="center" vertical="center"/>
    </xf>
    <xf numFmtId="16" fontId="0" fillId="0" borderId="0" applyAlignment="1" pivotButton="0" quotePrefix="0" xfId="0">
      <alignment vertical="center"/>
    </xf>
    <xf numFmtId="16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4" fontId="20" fillId="0" borderId="0" applyAlignment="1" pivotButton="0" quotePrefix="0" xfId="0">
      <alignment vertical="center"/>
    </xf>
    <xf numFmtId="4" fontId="24" fillId="7" borderId="48" applyAlignment="1" applyProtection="1" pivotButton="0" quotePrefix="0" xfId="1">
      <alignment vertical="center"/>
      <protection locked="0" hidden="0"/>
    </xf>
    <xf numFmtId="0" fontId="23" fillId="0" borderId="0" applyAlignment="1" pivotButton="0" quotePrefix="0" xfId="0">
      <alignment horizontal="center" vertical="center"/>
    </xf>
    <xf numFmtId="16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9" fillId="0" borderId="4" applyAlignment="1" pivotButton="0" quotePrefix="0" xfId="0">
      <alignment vertical="center"/>
    </xf>
    <xf numFmtId="0" fontId="4" fillId="26" borderId="0" applyAlignment="1" pivotButton="0" quotePrefix="0" xfId="0">
      <alignment vertical="center"/>
    </xf>
    <xf numFmtId="0" fontId="0" fillId="26" borderId="0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3" fontId="4" fillId="11" borderId="23" applyAlignment="1" applyProtection="1" pivotButton="0" quotePrefix="0" xfId="0">
      <alignment horizontal="center" vertical="center"/>
      <protection locked="0" hidden="0"/>
    </xf>
    <xf numFmtId="3" fontId="4" fillId="11" borderId="0" applyAlignment="1" applyProtection="1" pivotButton="0" quotePrefix="0" xfId="0">
      <alignment horizontal="center" vertical="center"/>
      <protection locked="0" hidden="0"/>
    </xf>
    <xf numFmtId="169" fontId="4" fillId="11" borderId="23" applyAlignment="1" pivotButton="0" quotePrefix="0" xfId="0">
      <alignment horizontal="center" vertical="center"/>
    </xf>
    <xf numFmtId="169" fontId="4" fillId="11" borderId="0" applyAlignment="1" applyProtection="1" pivotButton="0" quotePrefix="0" xfId="0">
      <alignment horizontal="center" vertical="center"/>
      <protection locked="0" hidden="0"/>
    </xf>
    <xf numFmtId="14" fontId="4" fillId="11" borderId="2" applyAlignment="1" pivotButton="0" quotePrefix="0" xfId="0">
      <alignment horizontal="center" vertical="center"/>
    </xf>
    <xf numFmtId="169" fontId="4" fillId="11" borderId="23" applyAlignment="1" applyProtection="1" pivotButton="0" quotePrefix="0" xfId="0">
      <alignment horizontal="center" vertical="center"/>
      <protection locked="0" hidden="0"/>
    </xf>
    <xf numFmtId="0" fontId="4" fillId="25" borderId="6" applyAlignment="1" applyProtection="1" pivotButton="0" quotePrefix="0" xfId="0">
      <alignment horizontal="center"/>
      <protection locked="0" hidden="0"/>
    </xf>
    <xf numFmtId="0" fontId="3" fillId="25" borderId="6" pivotButton="0" quotePrefix="0" xfId="0"/>
    <xf numFmtId="0" fontId="0" fillId="25" borderId="6" pivotButton="0" quotePrefix="0" xfId="0"/>
    <xf numFmtId="0" fontId="22" fillId="27" borderId="0" applyAlignment="1" pivotButton="0" quotePrefix="0" xfId="2">
      <alignment horizontal="left"/>
    </xf>
    <xf numFmtId="0" fontId="0" fillId="28" borderId="0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/>
    </xf>
    <xf numFmtId="0" fontId="22" fillId="28" borderId="0" applyAlignment="1" pivotButton="0" quotePrefix="0" xfId="2">
      <alignment horizontal="left"/>
    </xf>
    <xf numFmtId="16" fontId="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/>
    </xf>
    <xf numFmtId="170" fontId="4" fillId="11" borderId="6" pivotButton="0" quotePrefix="0" xfId="1"/>
    <xf numFmtId="14" fontId="21" fillId="11" borderId="0" applyAlignment="1" pivotButton="0" quotePrefix="0" xfId="0">
      <alignment vertical="center"/>
    </xf>
    <xf numFmtId="14" fontId="20" fillId="7" borderId="0" applyAlignment="1" pivotButton="0" quotePrefix="0" xfId="0">
      <alignment vertical="center"/>
    </xf>
    <xf numFmtId="14" fontId="0" fillId="7" borderId="0" applyAlignment="1" applyProtection="1" pivotButton="0" quotePrefix="0" xfId="0">
      <alignment horizontal="center"/>
      <protection locked="0" hidden="0"/>
    </xf>
    <xf numFmtId="169" fontId="3" fillId="0" borderId="20" applyAlignment="1" pivotButton="0" quotePrefix="0" xfId="0">
      <alignment horizontal="center" vertical="center"/>
    </xf>
    <xf numFmtId="169" fontId="0" fillId="6" borderId="0" applyAlignment="1" applyProtection="1" pivotButton="0" quotePrefix="0" xfId="0">
      <alignment horizontal="center" vertical="center"/>
      <protection locked="0" hidden="0"/>
    </xf>
    <xf numFmtId="3" fontId="3" fillId="0" borderId="20" applyAlignment="1" applyProtection="1" pivotButton="0" quotePrefix="0" xfId="0">
      <alignment horizontal="center" vertical="center"/>
      <protection locked="0" hidden="0"/>
    </xf>
    <xf numFmtId="3" fontId="18" fillId="0" borderId="20" applyAlignment="1" applyProtection="1" pivotButton="0" quotePrefix="0" xfId="0">
      <alignment horizontal="center" vertical="center"/>
      <protection locked="0" hidden="0"/>
    </xf>
    <xf numFmtId="3" fontId="0" fillId="6" borderId="0" applyAlignment="1" applyProtection="1" pivotButton="0" quotePrefix="0" xfId="0">
      <alignment horizontal="center" vertical="center"/>
      <protection locked="0" hidden="0"/>
    </xf>
    <xf numFmtId="2" fontId="5" fillId="0" borderId="52" applyAlignment="1" pivotButton="0" quotePrefix="0" xfId="0">
      <alignment horizontal="center" vertical="center"/>
    </xf>
    <xf numFmtId="2" fontId="5" fillId="11" borderId="52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2" fontId="12" fillId="0" borderId="23" applyAlignment="1" pivotButton="0" quotePrefix="0" xfId="0">
      <alignment horizontal="center" vertical="center"/>
    </xf>
    <xf numFmtId="4" fontId="0" fillId="0" borderId="23" applyAlignment="1" pivotButton="0" quotePrefix="0" xfId="0">
      <alignment horizontal="center" vertical="center"/>
    </xf>
    <xf numFmtId="164" fontId="12" fillId="0" borderId="23" applyAlignment="1" pivotButton="0" quotePrefix="0" xfId="0">
      <alignment horizontal="center" vertical="center"/>
    </xf>
    <xf numFmtId="4" fontId="0" fillId="0" borderId="24" applyAlignment="1" pivotButton="0" quotePrefix="0" xfId="0">
      <alignment horizontal="center" vertical="center"/>
    </xf>
    <xf numFmtId="2" fontId="5" fillId="11" borderId="35" applyAlignment="1" pivotButton="0" quotePrefix="0" xfId="0">
      <alignment horizontal="center" vertical="center"/>
    </xf>
    <xf numFmtId="170" fontId="0" fillId="10" borderId="6" applyProtection="1" pivotButton="0" quotePrefix="0" xfId="1">
      <protection locked="0" hidden="0"/>
    </xf>
    <xf numFmtId="172" fontId="18" fillId="11" borderId="0" applyAlignment="1" pivotButton="0" quotePrefix="0" xfId="0">
      <alignment horizontal="center" vertical="center"/>
    </xf>
    <xf numFmtId="172" fontId="18" fillId="11" borderId="2" applyAlignment="1" pivotButton="0" quotePrefix="0" xfId="0">
      <alignment horizontal="center" vertical="center"/>
    </xf>
    <xf numFmtId="4" fontId="9" fillId="11" borderId="50" applyAlignment="1" applyProtection="1" pivotButton="0" quotePrefix="0" xfId="1">
      <alignment vertical="center"/>
      <protection locked="0" hidden="0"/>
    </xf>
    <xf numFmtId="0" fontId="20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169" fontId="0" fillId="7" borderId="23" applyAlignment="1" applyProtection="1" pivotButton="0" quotePrefix="0" xfId="0">
      <alignment horizontal="center" vertical="center"/>
      <protection locked="0" hidden="0"/>
    </xf>
    <xf numFmtId="0" fontId="3" fillId="7" borderId="0" applyAlignment="1" pivotButton="0" quotePrefix="0" xfId="0">
      <alignment vertical="center"/>
    </xf>
    <xf numFmtId="0" fontId="3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3" borderId="34" applyAlignment="1" pivotButton="0" quotePrefix="0" xfId="0">
      <alignment horizontal="center" vertical="center" wrapText="1"/>
    </xf>
    <xf numFmtId="0" fontId="3" fillId="13" borderId="35" applyAlignment="1" pivotButton="0" quotePrefix="0" xfId="0">
      <alignment horizontal="center" vertical="center" wrapText="1"/>
    </xf>
    <xf numFmtId="0" fontId="3" fillId="11" borderId="34" applyAlignment="1" pivotButton="0" quotePrefix="0" xfId="0">
      <alignment horizontal="center" vertical="center"/>
    </xf>
    <xf numFmtId="0" fontId="3" fillId="11" borderId="35" applyAlignment="1" pivotButton="0" quotePrefix="0" xfId="0">
      <alignment horizontal="center" vertical="center"/>
    </xf>
    <xf numFmtId="2" fontId="4" fillId="9" borderId="25" applyAlignment="1" pivotButton="0" quotePrefix="0" xfId="0">
      <alignment horizontal="center" vertical="center" wrapText="1"/>
    </xf>
    <xf numFmtId="2" fontId="4" fillId="9" borderId="27" applyAlignment="1" pivotButton="0" quotePrefix="0" xfId="0">
      <alignment horizontal="center" vertical="center" wrapText="1"/>
    </xf>
    <xf numFmtId="4" fontId="4" fillId="9" borderId="25" applyAlignment="1" pivotButton="0" quotePrefix="0" xfId="0">
      <alignment horizontal="center" vertical="center"/>
    </xf>
    <xf numFmtId="0" fontId="4" fillId="9" borderId="27" applyAlignment="1" pivotButton="0" quotePrefix="0" xfId="0">
      <alignment horizontal="center" vertical="center"/>
    </xf>
    <xf numFmtId="173" fontId="12" fillId="7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25" borderId="42" applyAlignment="1" pivotButton="0" quotePrefix="0" xfId="0">
      <alignment horizontal="left"/>
    </xf>
    <xf numFmtId="0" fontId="0" fillId="25" borderId="41" applyAlignment="1" pivotButton="0" quotePrefix="0" xfId="0">
      <alignment horizontal="left"/>
    </xf>
    <xf numFmtId="0" fontId="0" fillId="25" borderId="40" applyAlignment="1" pivotButton="0" quotePrefix="0" xfId="0">
      <alignment horizontal="left"/>
    </xf>
    <xf numFmtId="0" fontId="3" fillId="25" borderId="42" applyAlignment="1" pivotButton="0" quotePrefix="0" xfId="0">
      <alignment horizontal="left"/>
    </xf>
    <xf numFmtId="0" fontId="3" fillId="25" borderId="41" applyAlignment="1" pivotButton="0" quotePrefix="0" xfId="0">
      <alignment horizontal="left"/>
    </xf>
    <xf numFmtId="0" fontId="3" fillId="25" borderId="4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left"/>
    </xf>
    <xf numFmtId="170" fontId="4" fillId="7" borderId="6" applyAlignment="1" pivotButton="0" quotePrefix="0" xfId="1">
      <alignment vertical="center"/>
    </xf>
    <xf numFmtId="165" fontId="3" fillId="0" borderId="5" applyAlignment="1" pivotButton="0" quotePrefix="0" xfId="0">
      <alignment vertical="center"/>
    </xf>
    <xf numFmtId="166" fontId="4" fillId="0" borderId="9" applyAlignment="1" pivotButton="0" quotePrefix="0" xfId="0">
      <alignment vertical="center"/>
    </xf>
    <xf numFmtId="167" fontId="0" fillId="0" borderId="12" applyAlignment="1" pivotButton="0" quotePrefix="0" xfId="0">
      <alignment vertical="center"/>
    </xf>
    <xf numFmtId="167" fontId="0" fillId="0" borderId="15" applyAlignment="1" pivotButton="0" quotePrefix="0" xfId="0">
      <alignment vertical="center"/>
    </xf>
    <xf numFmtId="168" fontId="0" fillId="0" borderId="5" applyAlignment="1" pivotButton="0" quotePrefix="0" xfId="0">
      <alignment vertical="center"/>
    </xf>
    <xf numFmtId="168" fontId="4" fillId="0" borderId="18" applyAlignment="1" pivotButton="0" quotePrefix="0" xfId="0">
      <alignment vertical="center"/>
    </xf>
    <xf numFmtId="172" fontId="18" fillId="11" borderId="0" applyAlignment="1" pivotButton="0" quotePrefix="0" xfId="0">
      <alignment horizontal="center" vertical="center"/>
    </xf>
    <xf numFmtId="172" fontId="18" fillId="11" borderId="2" applyAlignment="1" pivotButton="0" quotePrefix="0" xfId="0">
      <alignment horizontal="center" vertical="center"/>
    </xf>
    <xf numFmtId="169" fontId="0" fillId="0" borderId="20" applyAlignment="1" applyProtection="1" pivotButton="0" quotePrefix="0" xfId="0">
      <alignment horizontal="center" vertical="center"/>
      <protection locked="0" hidden="0"/>
    </xf>
    <xf numFmtId="169" fontId="0" fillId="0" borderId="20" applyAlignment="1" pivotButton="0" quotePrefix="0" xfId="0">
      <alignment horizontal="center" vertical="center"/>
    </xf>
    <xf numFmtId="169" fontId="0" fillId="6" borderId="23" applyAlignment="1" applyProtection="1" pivotButton="0" quotePrefix="0" xfId="0">
      <alignment horizontal="center" vertical="center"/>
      <protection locked="0" hidden="0"/>
    </xf>
    <xf numFmtId="169" fontId="4" fillId="11" borderId="23" applyAlignment="1" pivotButton="0" quotePrefix="0" xfId="0">
      <alignment horizontal="center" vertical="center"/>
    </xf>
    <xf numFmtId="169" fontId="0" fillId="5" borderId="23" applyAlignment="1" pivotButton="0" quotePrefix="0" xfId="0">
      <alignment horizontal="center" vertical="center"/>
    </xf>
    <xf numFmtId="169" fontId="3" fillId="0" borderId="20" applyAlignment="1" pivotButton="0" quotePrefix="0" xfId="0">
      <alignment horizontal="center" vertical="center"/>
    </xf>
    <xf numFmtId="169" fontId="4" fillId="0" borderId="20" applyAlignment="1" pivotButton="0" quotePrefix="0" xfId="0">
      <alignment horizontal="center" vertical="center"/>
    </xf>
    <xf numFmtId="169" fontId="0" fillId="6" borderId="0" applyAlignment="1" applyProtection="1" pivotButton="0" quotePrefix="0" xfId="0">
      <alignment horizontal="center" vertical="center"/>
      <protection locked="0" hidden="0"/>
    </xf>
    <xf numFmtId="169" fontId="4" fillId="11" borderId="0" applyAlignment="1" applyProtection="1" pivotButton="0" quotePrefix="0" xfId="0">
      <alignment horizontal="center" vertical="center"/>
      <protection locked="0" hidden="0"/>
    </xf>
    <xf numFmtId="169" fontId="0" fillId="0" borderId="0" applyAlignment="1" pivotButton="0" quotePrefix="0" xfId="0">
      <alignment horizontal="center" vertical="center"/>
    </xf>
    <xf numFmtId="169" fontId="4" fillId="0" borderId="26" applyAlignment="1" pivotButton="0" quotePrefix="0" xfId="0">
      <alignment horizontal="center" vertical="center"/>
    </xf>
    <xf numFmtId="169" fontId="4" fillId="11" borderId="23" applyAlignment="1" applyProtection="1" pivotButton="0" quotePrefix="0" xfId="0">
      <alignment horizontal="center" vertical="center"/>
      <protection locked="0" hidden="0"/>
    </xf>
    <xf numFmtId="169" fontId="4" fillId="5" borderId="23" applyAlignment="1" pivotButton="0" quotePrefix="0" xfId="0">
      <alignment horizontal="center" vertical="center"/>
    </xf>
    <xf numFmtId="169" fontId="0" fillId="7" borderId="23" applyAlignment="1" applyProtection="1" pivotButton="0" quotePrefix="0" xfId="0">
      <alignment horizontal="center" vertical="center"/>
      <protection locked="0" hidden="0"/>
    </xf>
    <xf numFmtId="169" fontId="4" fillId="0" borderId="0" applyAlignment="1" pivotButton="0" quotePrefix="0" xfId="0">
      <alignment horizontal="center" vertical="center"/>
    </xf>
    <xf numFmtId="169" fontId="4" fillId="0" borderId="26" applyAlignment="1" pivotButton="0" quotePrefix="0" xfId="0">
      <alignment vertical="center"/>
    </xf>
    <xf numFmtId="0" fontId="0" fillId="0" borderId="53" pivotButton="0" quotePrefix="0" xfId="0"/>
    <xf numFmtId="0" fontId="3" fillId="8" borderId="34" applyAlignment="1" pivotButton="0" quotePrefix="0" xfId="0">
      <alignment horizontal="center" vertical="center"/>
    </xf>
    <xf numFmtId="0" fontId="0" fillId="0" borderId="3" pivotButton="0" quotePrefix="0" xfId="0"/>
    <xf numFmtId="0" fontId="3" fillId="12" borderId="34" applyAlignment="1" pivotButton="0" quotePrefix="0" xfId="0">
      <alignment horizontal="center" vertical="center"/>
    </xf>
    <xf numFmtId="0" fontId="3" fillId="13" borderId="39" applyAlignment="1" pivotButton="0" quotePrefix="0" xfId="0">
      <alignment horizontal="center" vertical="center" wrapText="1"/>
    </xf>
    <xf numFmtId="0" fontId="3" fillId="10" borderId="34" applyAlignment="1" pivotButton="0" quotePrefix="0" xfId="0">
      <alignment horizontal="center" vertical="center"/>
    </xf>
    <xf numFmtId="0" fontId="3" fillId="11" borderId="39" applyAlignment="1" pivotButton="0" quotePrefix="0" xfId="0">
      <alignment horizontal="center" vertical="center"/>
    </xf>
    <xf numFmtId="0" fontId="0" fillId="0" borderId="35" pivotButton="0" quotePrefix="0" xfId="0"/>
    <xf numFmtId="2" fontId="4" fillId="9" borderId="39" applyAlignment="1" pivotButton="0" quotePrefix="0" xfId="0">
      <alignment horizontal="center" vertical="center" wrapText="1"/>
    </xf>
    <xf numFmtId="0" fontId="0" fillId="0" borderId="27" pivotButton="0" quotePrefix="0" xfId="0"/>
    <xf numFmtId="173" fontId="12" fillId="7" borderId="0" applyAlignment="1" pivotButton="0" quotePrefix="0" xfId="0">
      <alignment horizontal="center" vertical="center"/>
    </xf>
    <xf numFmtId="171" fontId="0" fillId="7" borderId="6" pivotButton="0" quotePrefix="0" xfId="0"/>
    <xf numFmtId="170" fontId="0" fillId="7" borderId="6" applyProtection="1" pivotButton="0" quotePrefix="0" xfId="1">
      <protection locked="0" hidden="0"/>
    </xf>
    <xf numFmtId="171" fontId="0" fillId="0" borderId="23" pivotButton="0" quotePrefix="0" xfId="0"/>
    <xf numFmtId="170" fontId="3" fillId="0" borderId="6" pivotButton="0" quotePrefix="0" xfId="1"/>
    <xf numFmtId="170" fontId="0" fillId="0" borderId="6" pivotButton="0" quotePrefix="0" xfId="1"/>
    <xf numFmtId="170" fontId="0" fillId="10" borderId="6" applyProtection="1" pivotButton="0" quotePrefix="0" xfId="1">
      <protection locked="0" hidden="0"/>
    </xf>
    <xf numFmtId="170" fontId="4" fillId="11" borderId="6" pivotButton="0" quotePrefix="0" xfId="1"/>
    <xf numFmtId="170" fontId="0" fillId="0" borderId="6" applyProtection="1" pivotButton="0" quotePrefix="0" xfId="1">
      <protection locked="0" hidden="0"/>
    </xf>
    <xf numFmtId="0" fontId="0" fillId="25" borderId="6" applyAlignment="1" pivotButton="0" quotePrefix="0" xfId="0">
      <alignment horizontal="left"/>
    </xf>
    <xf numFmtId="0" fontId="0" fillId="0" borderId="41" pivotButton="0" quotePrefix="0" xfId="0"/>
    <xf numFmtId="0" fontId="0" fillId="0" borderId="40" pivotButton="0" quotePrefix="0" xfId="0"/>
    <xf numFmtId="0" fontId="3" fillId="25" borderId="6" applyAlignment="1" pivotButton="0" quotePrefix="0" xfId="0">
      <alignment horizontal="left"/>
    </xf>
    <xf numFmtId="170" fontId="0" fillId="0" borderId="6" pivotButton="0" quotePrefix="0" xfId="0"/>
    <xf numFmtId="165" fontId="3" fillId="0" borderId="48" applyAlignment="1" applyProtection="1" pivotButton="0" quotePrefix="0" xfId="0">
      <alignment horizontal="center"/>
      <protection locked="1" hidden="1"/>
    </xf>
    <xf numFmtId="165" fontId="3" fillId="0" borderId="0" applyAlignment="1" applyProtection="1" pivotButton="0" quotePrefix="0" xfId="0">
      <alignment horizontal="center"/>
      <protection locked="1" hidden="1"/>
    </xf>
  </cellXfs>
  <cellStyles count="3">
    <cellStyle name="Normale" xfId="0" builtinId="0"/>
    <cellStyle name="Valuta" xfId="1" builtinId="4"/>
    <cellStyle name="Normale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P285"/>
  <sheetViews>
    <sheetView tabSelected="1" topLeftCell="A51" zoomScale="130" zoomScaleNormal="130" workbookViewId="0">
      <selection activeCell="A48" sqref="A48"/>
    </sheetView>
  </sheetViews>
  <sheetFormatPr baseColWidth="8" defaultColWidth="9.109375" defaultRowHeight="13.2"/>
  <cols>
    <col width="56.88671875" customWidth="1" style="4" min="1" max="1"/>
    <col width="10.5546875" customWidth="1" style="17" min="2" max="2"/>
    <col width="10.88671875" bestFit="1" customWidth="1" style="4" min="3" max="3"/>
    <col width="10.5546875" customWidth="1" style="4" min="4" max="4"/>
    <col width="8.6640625" bestFit="1" customWidth="1" style="4" min="5" max="5"/>
    <col width="10.88671875" bestFit="1" customWidth="1" style="4" min="6" max="6"/>
    <col width="14" customWidth="1" style="4" min="7" max="7"/>
    <col width="9.109375" customWidth="1" style="4" min="8" max="16384"/>
  </cols>
  <sheetData>
    <row r="1" ht="51" customHeight="1">
      <c r="A1" s="1" t="inlineStr">
        <is>
          <t>Condomini</t>
        </is>
      </c>
      <c r="B1" s="2" t="n"/>
      <c r="C1" s="2" t="inlineStr">
        <is>
          <t xml:space="preserve">Millesimi riscaldamento </t>
        </is>
      </c>
      <c r="D1" s="3" t="inlineStr">
        <is>
          <t xml:space="preserve">Millesimi acqua calda sanitaria </t>
        </is>
      </c>
    </row>
    <row r="2" ht="13.8" customHeight="1">
      <c r="A2" s="5" t="n"/>
      <c r="B2" s="6" t="n"/>
      <c r="C2" s="6" t="inlineStr">
        <is>
          <t>Mill.</t>
        </is>
      </c>
      <c r="D2" s="7" t="inlineStr">
        <is>
          <t>Mill.</t>
        </is>
      </c>
    </row>
    <row r="3">
      <c r="A3" s="232" t="inlineStr">
        <is>
          <t>App. 01</t>
        </is>
      </c>
      <c r="B3" s="9" t="n"/>
      <c r="C3" s="10">
        <f>'Tabelle millesimali'!D4</f>
        <v/>
      </c>
      <c r="D3" s="10">
        <f>'Tabelle millesimali'!F4</f>
        <v/>
      </c>
    </row>
    <row r="4">
      <c r="A4" s="232" t="inlineStr">
        <is>
          <t>App. 02</t>
        </is>
      </c>
      <c r="B4" s="9" t="n"/>
      <c r="C4" s="10">
        <f>'Tabelle millesimali'!D5</f>
        <v/>
      </c>
      <c r="D4" s="10">
        <f>'Tabelle millesimali'!F5</f>
        <v/>
      </c>
    </row>
    <row r="5">
      <c r="A5" s="232" t="inlineStr">
        <is>
          <t>App. 03</t>
        </is>
      </c>
      <c r="B5" s="9" t="n"/>
      <c r="C5" s="10">
        <f>'Tabelle millesimali'!D6</f>
        <v/>
      </c>
      <c r="D5" s="10">
        <f>'Tabelle millesimali'!F6</f>
        <v/>
      </c>
    </row>
    <row r="6">
      <c r="A6" s="232" t="inlineStr">
        <is>
          <t>App. 04</t>
        </is>
      </c>
      <c r="B6" s="9" t="n"/>
      <c r="C6" s="10">
        <f>'Tabelle millesimali'!D7</f>
        <v/>
      </c>
      <c r="D6" s="10">
        <f>'Tabelle millesimali'!F7</f>
        <v/>
      </c>
    </row>
    <row r="7">
      <c r="A7" s="232" t="inlineStr">
        <is>
          <t>App. 05</t>
        </is>
      </c>
      <c r="B7" s="9" t="n"/>
      <c r="C7" s="10">
        <f>'Tabelle millesimali'!D8</f>
        <v/>
      </c>
      <c r="D7" s="10">
        <f>'Tabelle millesimali'!F8</f>
        <v/>
      </c>
    </row>
    <row r="8">
      <c r="A8" s="232" t="inlineStr">
        <is>
          <t>App. 06</t>
        </is>
      </c>
      <c r="B8" s="9" t="n"/>
      <c r="C8" s="10">
        <f>'Tabelle millesimali'!D9</f>
        <v/>
      </c>
      <c r="D8" s="10">
        <f>'Tabelle millesimali'!F9</f>
        <v/>
      </c>
    </row>
    <row r="9">
      <c r="A9" s="232" t="inlineStr">
        <is>
          <t>App. 07</t>
        </is>
      </c>
      <c r="B9" s="9" t="n"/>
      <c r="C9" s="10">
        <f>'Tabelle millesimali'!D10</f>
        <v/>
      </c>
      <c r="D9" s="10">
        <f>'Tabelle millesimali'!F10</f>
        <v/>
      </c>
    </row>
    <row r="10">
      <c r="A10" s="232" t="inlineStr">
        <is>
          <t>App. 08</t>
        </is>
      </c>
      <c r="B10" s="9" t="n"/>
      <c r="C10" s="10">
        <f>'Tabelle millesimali'!D11</f>
        <v/>
      </c>
      <c r="D10" s="10">
        <f>'Tabelle millesimali'!F11</f>
        <v/>
      </c>
    </row>
    <row r="11">
      <c r="A11" s="232" t="inlineStr">
        <is>
          <t>App. 09</t>
        </is>
      </c>
      <c r="B11" s="9" t="n"/>
      <c r="C11" s="10">
        <f>'Tabelle millesimali'!D12</f>
        <v/>
      </c>
      <c r="D11" s="10">
        <f>'Tabelle millesimali'!F12</f>
        <v/>
      </c>
    </row>
    <row r="12">
      <c r="A12" s="8" t="inlineStr">
        <is>
          <t>App. 10</t>
        </is>
      </c>
      <c r="B12" s="9" t="n"/>
      <c r="C12" s="10">
        <f>'Tabelle millesimali'!D13</f>
        <v/>
      </c>
      <c r="D12" s="10">
        <f>'Tabelle millesimali'!F13</f>
        <v/>
      </c>
    </row>
    <row r="13">
      <c r="A13" s="5" t="n"/>
      <c r="B13" s="11" t="n"/>
      <c r="C13" s="12" t="n"/>
      <c r="D13" s="13" t="n"/>
    </row>
    <row r="14" ht="13.8" customHeight="1" thickBot="1">
      <c r="A14" s="14" t="inlineStr">
        <is>
          <t>TOTALE</t>
        </is>
      </c>
      <c r="B14" s="15" t="n"/>
      <c r="C14" s="15">
        <f>SUM(C3:C12)</f>
        <v/>
      </c>
      <c r="D14" s="16">
        <f>SUM(D3:D12)</f>
        <v/>
      </c>
    </row>
    <row r="15" ht="16.5" customHeight="1"/>
    <row r="16">
      <c r="A16" s="18" t="n"/>
      <c r="B16" s="19" t="n"/>
      <c r="C16" s="20" t="n"/>
    </row>
    <row r="17">
      <c r="A17" s="21" t="inlineStr">
        <is>
          <t>CALCOLO DELLA RIPARTIZIONE</t>
        </is>
      </c>
      <c r="B17" s="19" t="n"/>
      <c r="C17" s="20" t="n"/>
    </row>
    <row r="18">
      <c r="A18" s="18" t="inlineStr">
        <is>
          <t xml:space="preserve">I valori sono quelli reali. Aggiornando i dati nelle celle gialle e rosa con i valori dell'anno corrente si ottiene la ripartizione </t>
        </is>
      </c>
      <c r="B18" s="19" t="n"/>
      <c r="C18" s="20" t="n"/>
    </row>
    <row r="19">
      <c r="A19" s="18" t="inlineStr">
        <is>
          <t xml:space="preserve">Impianto: rsicaldamento a colonne montanti + acqua calda sanitaria centralizzata </t>
        </is>
      </c>
      <c r="B19" s="19" t="n"/>
      <c r="C19" s="20" t="n"/>
    </row>
    <row r="20">
      <c r="A20" s="18" t="n"/>
      <c r="B20" s="19" t="n"/>
      <c r="C20" s="20" t="n"/>
    </row>
    <row r="21">
      <c r="A21" s="21" t="inlineStr">
        <is>
          <t>Costo complessivo GAS METANO</t>
        </is>
      </c>
      <c r="B21" s="207" t="inlineStr">
        <is>
          <t>€</t>
        </is>
      </c>
      <c r="C21" s="319">
        <f>Tabella_2026!E4</f>
        <v/>
      </c>
      <c r="D21" s="202" t="inlineStr">
        <is>
          <t>da tabella</t>
        </is>
      </c>
    </row>
    <row r="22">
      <c r="A22" s="18" t="inlineStr">
        <is>
          <t>Gas Metano lettura INIZIALE</t>
        </is>
      </c>
      <c r="B22" s="209" t="inlineStr">
        <is>
          <t>mc</t>
        </is>
      </c>
      <c r="C22" s="180">
        <f>Tabella_2026!F21</f>
        <v/>
      </c>
    </row>
    <row r="23">
      <c r="A23" s="18" t="inlineStr">
        <is>
          <t>Gas Metano lettura FINALE</t>
        </is>
      </c>
      <c r="B23" s="209" t="inlineStr">
        <is>
          <t>mc</t>
        </is>
      </c>
      <c r="C23" s="203">
        <f>Tabella_2026!H21</f>
        <v/>
      </c>
      <c r="D23" s="202" t="inlineStr">
        <is>
          <t>da tabella</t>
        </is>
      </c>
    </row>
    <row r="24">
      <c r="A24" s="18" t="inlineStr">
        <is>
          <t>costo medio metano</t>
        </is>
      </c>
      <c r="B24" s="209" t="inlineStr">
        <is>
          <t>€/mc</t>
        </is>
      </c>
      <c r="C24" s="181">
        <f>C21/(C23-C22)</f>
        <v/>
      </c>
    </row>
    <row r="25">
      <c r="A25" s="18" t="inlineStr">
        <is>
          <t>Consumo energia elettrica per CT</t>
        </is>
      </c>
      <c r="B25" s="209" t="inlineStr">
        <is>
          <t>kWh</t>
        </is>
      </c>
      <c r="C25" s="183">
        <f>SUM(Tabella_2026!G20)</f>
        <v/>
      </c>
      <c r="D25" s="202" t="inlineStr">
        <is>
          <t>da tabella</t>
        </is>
      </c>
    </row>
    <row r="26">
      <c r="A26" s="18" t="inlineStr">
        <is>
          <t>Costo medio enegia elettrica</t>
        </is>
      </c>
      <c r="B26" s="209" t="inlineStr">
        <is>
          <t>€/kwh</t>
        </is>
      </c>
      <c r="C26" s="181">
        <f>Tabella_2026!E12</f>
        <v/>
      </c>
    </row>
    <row r="27">
      <c r="A27" s="18" t="inlineStr">
        <is>
          <t>Lettura contabilizzatore x RISCALDAMENTO INIZIO ESERCIZIO</t>
        </is>
      </c>
      <c r="B27" s="209" t="inlineStr">
        <is>
          <t>kWh</t>
        </is>
      </c>
      <c r="C27" s="287" t="n">
        <v>21778</v>
      </c>
      <c r="D27" s="267" t="n">
        <v>46022</v>
      </c>
      <c r="E27" s="219" t="inlineStr">
        <is>
          <t>da prec. Es</t>
        </is>
      </c>
      <c r="F27" s="21" t="n"/>
    </row>
    <row r="28">
      <c r="A28" s="18" t="inlineStr">
        <is>
          <t>Lettura contabilizzatore x RISCALDAMENTO FINE GESTIONE 25</t>
        </is>
      </c>
      <c r="B28" s="209" t="inlineStr">
        <is>
          <t>kWh</t>
        </is>
      </c>
      <c r="C28" s="240" t="n"/>
      <c r="D28" s="268" t="n"/>
      <c r="E28" s="288" t="inlineStr">
        <is>
          <t>da letture Siemems</t>
        </is>
      </c>
      <c r="F28" s="289" t="n"/>
    </row>
    <row r="29">
      <c r="A29" s="204" t="inlineStr">
        <is>
          <t xml:space="preserve">consumo energetico per RISCALDAMENTO  </t>
        </is>
      </c>
      <c r="B29" s="209" t="inlineStr">
        <is>
          <t>kWh</t>
        </is>
      </c>
      <c r="C29" s="208">
        <f>(C28-C27)</f>
        <v/>
      </c>
      <c r="D29" s="224" t="inlineStr">
        <is>
          <t xml:space="preserve"> = CONSUMO</t>
        </is>
      </c>
      <c r="E29" s="217" t="n"/>
      <c r="F29" s="21" t="n"/>
    </row>
    <row r="30">
      <c r="A30" s="18" t="inlineStr">
        <is>
          <t>Lettura contabilizzatore x ACS in ct INIZIO ESERCIZIO</t>
        </is>
      </c>
      <c r="B30" s="209" t="inlineStr">
        <is>
          <t>kWh</t>
        </is>
      </c>
      <c r="C30" s="287" t="n">
        <v>26256</v>
      </c>
      <c r="D30" s="218" t="n">
        <v>46022</v>
      </c>
      <c r="E30" s="219" t="inlineStr">
        <is>
          <t>da prec. Es</t>
        </is>
      </c>
      <c r="F30" s="21" t="n"/>
    </row>
    <row r="31">
      <c r="A31" s="18" t="inlineStr">
        <is>
          <t>Lettura contabilizzatore x ACS in ct FINE GESTIONE 25</t>
        </is>
      </c>
      <c r="B31" s="209" t="inlineStr">
        <is>
          <t>kWh</t>
        </is>
      </c>
      <c r="C31" s="240" t="n"/>
      <c r="D31" s="268" t="n"/>
      <c r="E31" s="288" t="inlineStr">
        <is>
          <t>da letture Siemems</t>
        </is>
      </c>
      <c r="F31" s="289" t="n"/>
    </row>
    <row r="32" ht="13.8" customHeight="1" thickBot="1">
      <c r="A32" s="204" t="inlineStr">
        <is>
          <t>consumo energetico per riscaldamento ACS</t>
        </is>
      </c>
      <c r="B32" s="206" t="inlineStr">
        <is>
          <t>kWh</t>
        </is>
      </c>
      <c r="C32" s="205">
        <f>(C31-C30)</f>
        <v/>
      </c>
      <c r="D32" s="224" t="inlineStr">
        <is>
          <t xml:space="preserve"> = CONSUMO</t>
        </is>
      </c>
    </row>
    <row r="33" ht="13.8" customHeight="1" thickTop="1">
      <c r="A33" s="18" t="n"/>
      <c r="B33" s="19" t="n"/>
      <c r="C33" s="20" t="n"/>
    </row>
    <row r="34" ht="13.8" customHeight="1" thickBot="1">
      <c r="A34" s="18" t="n"/>
      <c r="B34" s="19" t="n"/>
      <c r="C34" s="20" t="n"/>
    </row>
    <row r="35">
      <c r="A35" s="22" t="inlineStr">
        <is>
          <t>Calcolo del costo dell'energia utile prodotta</t>
        </is>
      </c>
      <c r="B35" s="23" t="n"/>
      <c r="C35" s="24" t="n"/>
    </row>
    <row r="36" ht="13.8" customHeight="1">
      <c r="A36" s="25" t="inlineStr">
        <is>
          <t xml:space="preserve">Consumo metano </t>
        </is>
      </c>
      <c r="B36" s="19" t="inlineStr">
        <is>
          <t xml:space="preserve">m³ </t>
        </is>
      </c>
      <c r="C36" s="26">
        <f>C23-C22</f>
        <v/>
      </c>
    </row>
    <row r="37">
      <c r="A37" s="25" t="inlineStr">
        <is>
          <t>Costo TOTALE metano</t>
        </is>
      </c>
      <c r="B37" s="19" t="inlineStr">
        <is>
          <t>€</t>
        </is>
      </c>
      <c r="C37" s="27">
        <f>C21</f>
        <v/>
      </c>
    </row>
    <row r="38" ht="13.8" customHeight="1">
      <c r="A38" s="28" t="n"/>
      <c r="B38" s="19" t="inlineStr">
        <is>
          <t xml:space="preserve">€/m³ </t>
        </is>
      </c>
      <c r="C38" s="29">
        <f>+C37/C36</f>
        <v/>
      </c>
    </row>
    <row r="39">
      <c r="A39" s="28" t="n"/>
      <c r="B39" s="4" t="n"/>
      <c r="C39" s="30" t="n"/>
    </row>
    <row r="40">
      <c r="A40" s="25" t="inlineStr">
        <is>
          <t>Potere calorifico metano</t>
        </is>
      </c>
      <c r="B40" s="18" t="inlineStr">
        <is>
          <t xml:space="preserve">kWh/m³ </t>
        </is>
      </c>
      <c r="C40" s="30" t="n">
        <v>9.449999999999999</v>
      </c>
    </row>
    <row r="41">
      <c r="A41" s="25" t="inlineStr">
        <is>
          <t>Consumo metano</t>
        </is>
      </c>
      <c r="B41" s="19" t="inlineStr">
        <is>
          <t>kWh</t>
        </is>
      </c>
      <c r="C41" s="31">
        <f>+C36*C40</f>
        <v/>
      </c>
    </row>
    <row r="42">
      <c r="A42" s="25" t="n"/>
      <c r="B42" s="19" t="n"/>
      <c r="C42" s="31" t="n"/>
    </row>
    <row r="43">
      <c r="A43" s="25" t="inlineStr">
        <is>
          <t>Consumo energia elettrica</t>
        </is>
      </c>
      <c r="B43" s="19" t="inlineStr">
        <is>
          <t>kWh</t>
        </is>
      </c>
      <c r="C43" s="27">
        <f>C25</f>
        <v/>
      </c>
    </row>
    <row r="44">
      <c r="A44" s="25" t="inlineStr">
        <is>
          <t>Costo energia elettrica</t>
        </is>
      </c>
      <c r="B44" s="19" t="inlineStr">
        <is>
          <t>€/kWh</t>
        </is>
      </c>
      <c r="C44" s="320">
        <f>costoenegiaelettrica</f>
        <v/>
      </c>
    </row>
    <row r="45">
      <c r="A45" s="28" t="n"/>
      <c r="B45" s="19" t="inlineStr">
        <is>
          <t>€</t>
        </is>
      </c>
      <c r="C45" s="33">
        <f>+C43*C44</f>
        <v/>
      </c>
    </row>
    <row r="46">
      <c r="A46" s="28" t="n"/>
      <c r="B46" s="19" t="n"/>
      <c r="C46" s="31" t="n"/>
    </row>
    <row r="47">
      <c r="A47" s="25" t="inlineStr">
        <is>
          <t>Costo totale</t>
        </is>
      </c>
      <c r="B47" s="19" t="inlineStr">
        <is>
          <t>€</t>
        </is>
      </c>
      <c r="C47" s="34">
        <f>+C45+C37</f>
        <v/>
      </c>
    </row>
    <row r="48">
      <c r="A48" s="25" t="inlineStr">
        <is>
          <t>Rendimento generatore</t>
        </is>
      </c>
      <c r="B48" s="19" t="inlineStr">
        <is>
          <t>%</t>
        </is>
      </c>
      <c r="C48" s="34" t="n">
        <v>93</v>
      </c>
    </row>
    <row r="49">
      <c r="A49" s="25" t="inlineStr">
        <is>
          <t>Energia utile prodotta dal generatore</t>
        </is>
      </c>
      <c r="B49" s="19" t="inlineStr">
        <is>
          <t>kWh</t>
        </is>
      </c>
      <c r="C49" s="31">
        <f>+C41*C48/100</f>
        <v/>
      </c>
    </row>
    <row r="50">
      <c r="A50" s="25" t="inlineStr">
        <is>
          <t>Energia contabilizzata RISC + ACS in CT</t>
        </is>
      </c>
      <c r="B50" s="19" t="inlineStr">
        <is>
          <t>kWh</t>
        </is>
      </c>
      <c r="C50" s="31">
        <f>C32+C29</f>
        <v/>
      </c>
    </row>
    <row r="51" ht="13.8" customHeight="1" thickBot="1">
      <c r="A51" s="35" t="inlineStr">
        <is>
          <t>Costo specifico energia</t>
        </is>
      </c>
      <c r="B51" s="36" t="inlineStr">
        <is>
          <t>€/kWh</t>
        </is>
      </c>
      <c r="C51" s="321">
        <f>+C47/C50</f>
        <v/>
      </c>
    </row>
    <row r="52" ht="13.8" customHeight="1" thickBot="1"/>
    <row r="53">
      <c r="A53" s="22" t="inlineStr">
        <is>
          <t>Suddivisione fra riscaldamento ed acqua calda sanitaria</t>
        </is>
      </c>
      <c r="B53" s="38" t="n"/>
      <c r="C53" s="39" t="n"/>
    </row>
    <row r="54">
      <c r="A54" s="25" t="inlineStr">
        <is>
          <t>Energia totale contabilizzata</t>
        </is>
      </c>
      <c r="B54" s="19" t="inlineStr">
        <is>
          <t>kWh</t>
        </is>
      </c>
      <c r="C54" s="34">
        <f>+C50</f>
        <v/>
      </c>
    </row>
    <row r="55">
      <c r="A55" s="25" t="inlineStr">
        <is>
          <t xml:space="preserve">Consumo totale per acqua calda sanitaria </t>
        </is>
      </c>
      <c r="B55" s="19" t="inlineStr">
        <is>
          <t>kWh</t>
        </is>
      </c>
      <c r="C55" s="27">
        <f>C32</f>
        <v/>
      </c>
    </row>
    <row r="56" ht="13.8" customHeight="1" thickBot="1">
      <c r="A56" s="40" t="inlineStr">
        <is>
          <t xml:space="preserve">Consumo totale per riscaldamento </t>
        </is>
      </c>
      <c r="B56" s="41" t="inlineStr">
        <is>
          <t>kWh</t>
        </is>
      </c>
      <c r="C56" s="42">
        <f>C29</f>
        <v/>
      </c>
    </row>
    <row r="57" ht="13.8" customHeight="1" thickBot="1"/>
    <row r="58">
      <c r="A58" s="212" t="inlineStr">
        <is>
          <t>Spese gestionali</t>
        </is>
      </c>
      <c r="B58" s="38" t="n"/>
      <c r="C58" s="39" t="n"/>
    </row>
    <row r="59">
      <c r="A59" s="25" t="inlineStr">
        <is>
          <t>Spese di conduzione e manutenzione</t>
        </is>
      </c>
      <c r="B59" s="19" t="inlineStr">
        <is>
          <t>€/anno</t>
        </is>
      </c>
      <c r="C59" s="225">
        <f>Tabella_2026!E6</f>
        <v/>
      </c>
    </row>
    <row r="60">
      <c r="A60" s="25" t="inlineStr">
        <is>
          <t>Spese di contabilizzazione</t>
        </is>
      </c>
      <c r="B60" s="19" t="inlineStr">
        <is>
          <t>€/anno</t>
        </is>
      </c>
      <c r="C60" s="225">
        <f>Tabella_2026!E7</f>
        <v/>
      </c>
    </row>
    <row r="61">
      <c r="A61" s="25" t="inlineStr">
        <is>
          <t>Spese imputabili ad acqua SANITARIA (Sali + manutenzione)</t>
        </is>
      </c>
      <c r="B61" s="19" t="inlineStr">
        <is>
          <t>€/anno</t>
        </is>
      </c>
      <c r="C61" s="225">
        <f>Tabella_2026!E8</f>
        <v/>
      </c>
    </row>
    <row r="62" ht="13.8" customHeight="1" thickBot="1">
      <c r="A62" s="43" t="inlineStr">
        <is>
          <t>TOTALE SPESE GESTIONALI</t>
        </is>
      </c>
      <c r="B62" s="44" t="inlineStr">
        <is>
          <t>€/anno</t>
        </is>
      </c>
      <c r="C62" s="45">
        <f>SUM(C59:C61)</f>
        <v/>
      </c>
    </row>
    <row r="63">
      <c r="A63" s="46" t="inlineStr">
        <is>
          <t>Quota spese fisse riscaldamento kcli</t>
        </is>
      </c>
      <c r="B63" s="47" t="n"/>
      <c r="C63" s="322" t="n">
        <v>0.4983185533468679</v>
      </c>
    </row>
    <row r="64" ht="13.8" customHeight="1" thickBot="1">
      <c r="A64" s="49" t="inlineStr">
        <is>
          <t>Quota spese fisse acqua calda sanitaria kacs</t>
        </is>
      </c>
      <c r="B64" s="50" t="n"/>
      <c r="C64" s="323" t="n">
        <v>0.5016814466531321</v>
      </c>
    </row>
    <row r="65">
      <c r="A65" s="46" t="inlineStr">
        <is>
          <t xml:space="preserve">Spese gestionali riscaldamento </t>
        </is>
      </c>
      <c r="B65" s="47" t="inlineStr">
        <is>
          <t>€/anno</t>
        </is>
      </c>
      <c r="C65" s="52">
        <f>+C62*C63</f>
        <v/>
      </c>
    </row>
    <row r="66" ht="13.8" customHeight="1" thickBot="1">
      <c r="A66" s="40" t="inlineStr">
        <is>
          <t xml:space="preserve">Spese gestionali acqua calda sanitaria </t>
        </is>
      </c>
      <c r="B66" s="41" t="inlineStr">
        <is>
          <t>€/anno</t>
        </is>
      </c>
      <c r="C66" s="53">
        <f>+C62*C64</f>
        <v/>
      </c>
    </row>
    <row r="67" ht="13.8" customHeight="1" thickBot="1"/>
    <row r="68" ht="17.25" customHeight="1">
      <c r="A68" s="54" t="inlineStr">
        <is>
          <t>Spese totali a ripartire</t>
        </is>
      </c>
      <c r="B68" s="38" t="n"/>
      <c r="C68" s="55" t="n"/>
      <c r="D68" s="39" t="n"/>
    </row>
    <row r="69" ht="17.25" customHeight="1">
      <c r="A69" s="25" t="inlineStr">
        <is>
          <t>Combustibile</t>
        </is>
      </c>
      <c r="B69" s="19" t="inlineStr">
        <is>
          <t>€/anno</t>
        </is>
      </c>
      <c r="C69" s="56">
        <f>+C37</f>
        <v/>
      </c>
      <c r="D69" s="324">
        <f>+C69/$C$72</f>
        <v/>
      </c>
    </row>
    <row r="70" ht="17.25" customHeight="1">
      <c r="A70" s="25" t="inlineStr">
        <is>
          <t>Energia elettrica</t>
        </is>
      </c>
      <c r="B70" s="19" t="inlineStr">
        <is>
          <t>€/anno</t>
        </is>
      </c>
      <c r="C70" s="56">
        <f>+C45</f>
        <v/>
      </c>
      <c r="D70" s="324">
        <f>+C70/$C$72</f>
        <v/>
      </c>
    </row>
    <row r="71" ht="17.25" customHeight="1" thickBot="1">
      <c r="A71" s="25" t="inlineStr">
        <is>
          <t>Gestione impianto</t>
        </is>
      </c>
      <c r="B71" s="19" t="inlineStr">
        <is>
          <t>€/anno</t>
        </is>
      </c>
      <c r="C71" s="56">
        <f>+C62</f>
        <v/>
      </c>
      <c r="D71" s="324">
        <f>+C71/$C$72</f>
        <v/>
      </c>
    </row>
    <row r="72" ht="17.25" customHeight="1" thickBot="1">
      <c r="A72" s="58" t="inlineStr">
        <is>
          <t>TOTALE</t>
        </is>
      </c>
      <c r="B72" s="59" t="inlineStr">
        <is>
          <t>€/anno</t>
        </is>
      </c>
      <c r="C72" s="60">
        <f>SUM(C69:C71)</f>
        <v/>
      </c>
      <c r="D72" s="325">
        <f>SUM(D69:D71)</f>
        <v/>
      </c>
    </row>
    <row r="73" ht="13.8" customHeight="1" thickBot="1"/>
    <row r="74">
      <c r="A74" s="213" t="inlineStr">
        <is>
          <t>Energia volontaria per riscaldamento</t>
        </is>
      </c>
      <c r="B74" s="23" t="n"/>
      <c r="C74" s="63" t="n"/>
      <c r="D74" s="64" t="n"/>
      <c r="E74" s="65" t="n"/>
    </row>
    <row r="75" ht="26.4" customHeight="1">
      <c r="A75" s="43" t="n"/>
      <c r="B75" s="66" t="inlineStr">
        <is>
          <t>Lettura iniziale</t>
        </is>
      </c>
      <c r="C75" s="184" t="inlineStr">
        <is>
          <t>Lettura finale</t>
        </is>
      </c>
      <c r="D75" s="19" t="inlineStr">
        <is>
          <t>Consumo</t>
        </is>
      </c>
      <c r="E75" s="196" t="inlineStr">
        <is>
          <t>Costo</t>
        </is>
      </c>
    </row>
    <row r="76">
      <c r="A76" s="28" t="n"/>
      <c r="B76" s="19" t="inlineStr">
        <is>
          <t>kWh</t>
        </is>
      </c>
      <c r="C76" s="326" t="n"/>
      <c r="D76" s="19" t="inlineStr">
        <is>
          <t>kWh</t>
        </is>
      </c>
      <c r="E76" s="67" t="inlineStr">
        <is>
          <t>€</t>
        </is>
      </c>
    </row>
    <row r="77">
      <c r="A77" s="68">
        <f>+A3</f>
        <v/>
      </c>
      <c r="B77" s="69" t="n">
        <v>0</v>
      </c>
      <c r="C77" s="69" t="n"/>
      <c r="D77" s="70">
        <f>+C77-B77</f>
        <v/>
      </c>
      <c r="E77" s="71">
        <f>+D77*$C$51</f>
        <v/>
      </c>
    </row>
    <row r="78">
      <c r="A78" s="200">
        <f>Inquilini!B2</f>
        <v/>
      </c>
      <c r="B78" s="199" t="n">
        <v>4048</v>
      </c>
      <c r="C78" s="251" t="n"/>
      <c r="D78" s="73">
        <f>+C78-B78</f>
        <v/>
      </c>
      <c r="E78" s="74">
        <f>+D78*$C$51</f>
        <v/>
      </c>
      <c r="F78" s="216" t="n"/>
      <c r="G78" s="217" t="n"/>
    </row>
    <row r="79">
      <c r="A79" s="68">
        <f>+A4</f>
        <v/>
      </c>
      <c r="B79" s="69" t="n"/>
      <c r="C79" s="272" t="n"/>
      <c r="D79" s="70" t="n"/>
      <c r="E79" s="71" t="n"/>
      <c r="F79" s="216" t="n"/>
      <c r="G79" s="217" t="n"/>
    </row>
    <row r="80">
      <c r="A80" s="200">
        <f>Inquilini!B3</f>
        <v/>
      </c>
      <c r="B80" s="199" t="n">
        <v>4727</v>
      </c>
      <c r="C80" s="251" t="n"/>
      <c r="D80" s="73">
        <f>+C80-B80</f>
        <v/>
      </c>
      <c r="E80" s="74">
        <f>+D80*$C$51</f>
        <v/>
      </c>
      <c r="G80" s="217" t="n"/>
    </row>
    <row r="81">
      <c r="A81" s="68">
        <f>+A5</f>
        <v/>
      </c>
      <c r="B81" s="69" t="n"/>
      <c r="C81" s="69" t="n"/>
      <c r="D81" s="70" t="n"/>
      <c r="E81" s="71" t="n"/>
      <c r="G81" s="217" t="n"/>
    </row>
    <row r="82">
      <c r="A82" s="200">
        <f>Inquilini!B4</f>
        <v/>
      </c>
      <c r="B82" s="199" t="n">
        <v>621</v>
      </c>
      <c r="C82" s="251" t="n"/>
      <c r="D82" s="73">
        <f>+C82-B82</f>
        <v/>
      </c>
      <c r="E82" s="74">
        <f>+D82*$C$51</f>
        <v/>
      </c>
      <c r="G82" s="217" t="n"/>
    </row>
    <row r="83">
      <c r="A83" s="192">
        <f>+A6</f>
        <v/>
      </c>
      <c r="B83" s="69" t="n"/>
      <c r="C83" s="272" t="n"/>
      <c r="D83" s="70" t="n"/>
      <c r="E83" s="71" t="n"/>
      <c r="G83" s="217" t="n"/>
    </row>
    <row r="84">
      <c r="A84" s="200">
        <f>Inquilini!B5</f>
        <v/>
      </c>
      <c r="B84" s="199" t="n">
        <v>922</v>
      </c>
      <c r="C84" s="251" t="n"/>
      <c r="D84" s="73">
        <f>+C84-B84</f>
        <v/>
      </c>
      <c r="E84" s="74">
        <f>+D84*$C$51</f>
        <v/>
      </c>
      <c r="G84" s="217" t="n"/>
    </row>
    <row r="85">
      <c r="A85" s="68">
        <f>+A7</f>
        <v/>
      </c>
      <c r="B85" s="69" t="n"/>
      <c r="C85" s="273" t="n"/>
      <c r="D85" s="70" t="n"/>
      <c r="E85" s="71" t="n"/>
      <c r="G85" s="217" t="n"/>
    </row>
    <row r="86">
      <c r="A86" s="200">
        <f>Inquilini!B6</f>
        <v/>
      </c>
      <c r="B86" s="199" t="n">
        <v>102</v>
      </c>
      <c r="C86" s="251" t="n"/>
      <c r="D86" s="73">
        <f>+C86-B86</f>
        <v/>
      </c>
      <c r="E86" s="74">
        <f>+D86*$C$51</f>
        <v/>
      </c>
      <c r="G86" s="217" t="n"/>
    </row>
    <row r="87">
      <c r="A87" s="68">
        <f>+A8</f>
        <v/>
      </c>
      <c r="B87" s="69" t="n"/>
      <c r="C87" s="69" t="n"/>
      <c r="D87" s="70" t="n"/>
      <c r="E87" s="71" t="n"/>
      <c r="G87" s="217" t="n"/>
    </row>
    <row r="88">
      <c r="A88" s="200">
        <f>Inquilini!B7</f>
        <v/>
      </c>
      <c r="B88" s="199" t="n">
        <v>169</v>
      </c>
      <c r="C88" s="251" t="n"/>
      <c r="D88" s="73">
        <f>+C88-B88</f>
        <v/>
      </c>
      <c r="E88" s="74">
        <f>+D88*$C$51</f>
        <v/>
      </c>
      <c r="G88" s="217" t="n"/>
    </row>
    <row r="89">
      <c r="A89" s="68">
        <f>+A9</f>
        <v/>
      </c>
      <c r="B89" s="69" t="n"/>
      <c r="C89" s="272" t="n"/>
      <c r="D89" s="70" t="n"/>
      <c r="E89" s="71" t="n"/>
      <c r="G89" s="217" t="n"/>
    </row>
    <row r="90">
      <c r="A90" s="200">
        <f>Inquilini!B8</f>
        <v/>
      </c>
      <c r="B90" s="199" t="n">
        <v>112</v>
      </c>
      <c r="C90" s="251" t="n"/>
      <c r="D90" s="73">
        <f>+C90-B90</f>
        <v/>
      </c>
      <c r="E90" s="74">
        <f>+D90*$C$51</f>
        <v/>
      </c>
      <c r="G90" s="217" t="n"/>
    </row>
    <row r="91">
      <c r="A91" s="68">
        <f>+A10</f>
        <v/>
      </c>
      <c r="B91" s="69" t="n"/>
      <c r="C91" s="69" t="n"/>
      <c r="D91" s="70" t="n"/>
      <c r="E91" s="71" t="n"/>
      <c r="G91" s="217" t="n"/>
    </row>
    <row r="92">
      <c r="A92" s="200">
        <f>Inquilini!B9</f>
        <v/>
      </c>
      <c r="B92" s="199" t="n">
        <v>1708</v>
      </c>
      <c r="C92" s="251" t="n"/>
      <c r="D92" s="73">
        <f>+C92-B92</f>
        <v/>
      </c>
      <c r="E92" s="74">
        <f>+D92*$C$51</f>
        <v/>
      </c>
      <c r="F92" s="216" t="n"/>
      <c r="G92" s="217" t="n"/>
    </row>
    <row r="93">
      <c r="A93" s="68">
        <f>+A11</f>
        <v/>
      </c>
      <c r="B93" s="69" t="n"/>
      <c r="C93" s="69" t="n"/>
      <c r="D93" s="70" t="n"/>
      <c r="E93" s="71" t="n"/>
    </row>
    <row r="94">
      <c r="A94" s="200">
        <f>Inquilini!B10</f>
        <v/>
      </c>
      <c r="B94" s="199" t="n">
        <v>2720</v>
      </c>
      <c r="C94" s="251" t="n"/>
      <c r="D94" s="73">
        <f>+C94-B94</f>
        <v/>
      </c>
      <c r="E94" s="74">
        <f>+D94*$C$51</f>
        <v/>
      </c>
      <c r="F94" s="216" t="n"/>
      <c r="G94" s="217" t="n"/>
    </row>
    <row r="95" ht="13.8" customHeight="1" thickBot="1">
      <c r="A95" s="43">
        <f>+A12</f>
        <v/>
      </c>
      <c r="B95" s="274" t="n">
        <v>7713</v>
      </c>
      <c r="C95" s="252" t="n"/>
      <c r="D95" s="75">
        <f>+C95-B95</f>
        <v/>
      </c>
      <c r="E95" s="76">
        <f>+D95*$C$51</f>
        <v/>
      </c>
      <c r="F95" s="216" t="n"/>
      <c r="G95" s="217" t="n"/>
    </row>
    <row r="96" ht="13.8" customHeight="1" thickBot="1">
      <c r="A96" s="77" t="inlineStr">
        <is>
          <t>TOTALE</t>
        </is>
      </c>
      <c r="B96" s="78">
        <f>SUM(B77:B95)</f>
        <v/>
      </c>
      <c r="C96" s="230">
        <f>SUM(C77:C95)</f>
        <v/>
      </c>
      <c r="D96" s="234">
        <f>SUM(D77:D95)</f>
        <v/>
      </c>
      <c r="E96" s="198">
        <f>SUM(E77:E95)</f>
        <v/>
      </c>
    </row>
    <row r="97" ht="13.8" customHeight="1" thickBot="1"/>
    <row r="98">
      <c r="A98" s="62" t="inlineStr">
        <is>
          <t xml:space="preserve">Energia utile per riscaldamento </t>
        </is>
      </c>
      <c r="B98" s="23" t="inlineStr">
        <is>
          <t>kWh</t>
        </is>
      </c>
      <c r="C98" s="79">
        <f>+C56</f>
        <v/>
      </c>
      <c r="D98" s="39" t="n"/>
    </row>
    <row r="99">
      <c r="A99" s="214" t="inlineStr">
        <is>
          <t xml:space="preserve">Energia involontaria per riscaldamento </t>
        </is>
      </c>
      <c r="B99" s="19" t="inlineStr">
        <is>
          <t>kWh</t>
        </is>
      </c>
      <c r="C99" s="75">
        <f>+C98-D96</f>
        <v/>
      </c>
      <c r="D99" s="80" t="n"/>
      <c r="H99" s="235" t="n"/>
    </row>
    <row r="100">
      <c r="A100" s="28" t="n"/>
      <c r="B100" s="19" t="inlineStr">
        <is>
          <t>Millesimi</t>
        </is>
      </c>
      <c r="C100" s="19" t="inlineStr">
        <is>
          <t>Energia</t>
        </is>
      </c>
      <c r="D100" s="195" t="inlineStr">
        <is>
          <t>Costo</t>
        </is>
      </c>
      <c r="H100" s="236" t="n"/>
    </row>
    <row r="101">
      <c r="A101" s="28" t="n"/>
      <c r="B101" s="19" t="n"/>
      <c r="C101" s="19" t="inlineStr">
        <is>
          <t>kWh</t>
        </is>
      </c>
      <c r="D101" s="67" t="inlineStr">
        <is>
          <t>€</t>
        </is>
      </c>
    </row>
    <row r="102">
      <c r="A102" s="68" t="inlineStr">
        <is>
          <t>App. 01</t>
        </is>
      </c>
      <c r="B102" s="83" t="n"/>
      <c r="C102" s="84" t="n"/>
      <c r="D102" s="71" t="n"/>
    </row>
    <row r="103">
      <c r="A103" s="200">
        <f>Inquilini!B2</f>
        <v/>
      </c>
      <c r="B103" s="85">
        <f>+C3</f>
        <v/>
      </c>
      <c r="C103" s="86">
        <f>+$C$99*B103/1000</f>
        <v/>
      </c>
      <c r="D103" s="74">
        <f>+C103*$C$51</f>
        <v/>
      </c>
      <c r="M103" s="231" t="n"/>
    </row>
    <row r="104">
      <c r="A104" s="68" t="inlineStr">
        <is>
          <t>App. 02</t>
        </is>
      </c>
      <c r="B104" s="83" t="n"/>
      <c r="C104" s="84" t="n"/>
      <c r="D104" s="71" t="n"/>
      <c r="M104" s="231" t="n"/>
    </row>
    <row r="105">
      <c r="A105" s="200">
        <f>Inquilini!B3</f>
        <v/>
      </c>
      <c r="B105" s="85">
        <f>+C4</f>
        <v/>
      </c>
      <c r="C105" s="86">
        <f>+$C$99*B105/1000</f>
        <v/>
      </c>
      <c r="D105" s="74">
        <f>+C105*$C$51</f>
        <v/>
      </c>
      <c r="M105" s="231" t="n"/>
    </row>
    <row r="106">
      <c r="A106" s="68" t="inlineStr">
        <is>
          <t>App. 03</t>
        </is>
      </c>
      <c r="B106" s="83" t="n"/>
      <c r="C106" s="84" t="n"/>
      <c r="D106" s="71" t="n"/>
      <c r="M106" s="231" t="n"/>
    </row>
    <row r="107">
      <c r="A107" s="200">
        <f>Inquilini!B4</f>
        <v/>
      </c>
      <c r="B107" s="85">
        <f>+C5</f>
        <v/>
      </c>
      <c r="C107" s="86">
        <f>+$C$99*B107/1000</f>
        <v/>
      </c>
      <c r="D107" s="74">
        <f>+C107*$C$51</f>
        <v/>
      </c>
      <c r="M107" s="231" t="n"/>
    </row>
    <row r="108">
      <c r="A108" s="192" t="inlineStr">
        <is>
          <t>App. 04</t>
        </is>
      </c>
      <c r="B108" s="83" t="n"/>
      <c r="C108" s="84" t="n"/>
      <c r="D108" s="71" t="n"/>
      <c r="M108" s="231" t="n"/>
    </row>
    <row r="109">
      <c r="A109" s="200">
        <f>Inquilini!B5</f>
        <v/>
      </c>
      <c r="B109" s="85">
        <f>+C6</f>
        <v/>
      </c>
      <c r="C109" s="86">
        <f>+$C$99*B109/1000</f>
        <v/>
      </c>
      <c r="D109" s="74">
        <f>+C109*$C$51</f>
        <v/>
      </c>
      <c r="E109" s="18" t="n"/>
      <c r="M109" s="231" t="n"/>
    </row>
    <row r="110">
      <c r="A110" s="192" t="inlineStr">
        <is>
          <t>App. 05</t>
        </is>
      </c>
      <c r="B110" s="83" t="n"/>
      <c r="C110" s="84" t="n"/>
      <c r="D110" s="71" t="n"/>
      <c r="M110" s="231" t="n"/>
    </row>
    <row r="111">
      <c r="A111" s="200">
        <f>Inquilini!B6</f>
        <v/>
      </c>
      <c r="B111" s="85">
        <f>+C7</f>
        <v/>
      </c>
      <c r="C111" s="86">
        <f>+$C$99*B111/1000</f>
        <v/>
      </c>
      <c r="D111" s="74">
        <f>+C111*$C$51</f>
        <v/>
      </c>
      <c r="M111" s="231" t="n"/>
    </row>
    <row r="112">
      <c r="A112" s="68" t="inlineStr">
        <is>
          <t>App. 06</t>
        </is>
      </c>
      <c r="B112" s="83" t="n"/>
      <c r="C112" s="84" t="n"/>
      <c r="D112" s="71" t="n"/>
      <c r="M112" s="231" t="n"/>
    </row>
    <row r="113">
      <c r="A113" s="200">
        <f>Inquilini!B7</f>
        <v/>
      </c>
      <c r="B113" s="85">
        <f>+C8</f>
        <v/>
      </c>
      <c r="C113" s="86">
        <f>+$C$99*B113/1000</f>
        <v/>
      </c>
      <c r="D113" s="74">
        <f>+C113*$C$51</f>
        <v/>
      </c>
      <c r="M113" s="231" t="n"/>
    </row>
    <row r="114">
      <c r="A114" s="68" t="inlineStr">
        <is>
          <t>App. 07</t>
        </is>
      </c>
      <c r="B114" s="83" t="n"/>
      <c r="C114" s="84" t="n"/>
      <c r="D114" s="71" t="n"/>
      <c r="M114" s="231" t="n"/>
    </row>
    <row r="115">
      <c r="A115" s="200">
        <f>Inquilini!B8</f>
        <v/>
      </c>
      <c r="B115" s="85">
        <f>+C9</f>
        <v/>
      </c>
      <c r="C115" s="86">
        <f>+$C$99*B115/1000</f>
        <v/>
      </c>
      <c r="D115" s="74">
        <f>+C115*$C$51</f>
        <v/>
      </c>
      <c r="E115" s="18" t="n"/>
      <c r="M115" s="231" t="n"/>
    </row>
    <row r="116">
      <c r="A116" s="68" t="inlineStr">
        <is>
          <t>App. 08</t>
        </is>
      </c>
      <c r="B116" s="83" t="n"/>
      <c r="C116" s="84" t="n"/>
      <c r="D116" s="71" t="n"/>
      <c r="M116" s="231" t="n"/>
    </row>
    <row r="117">
      <c r="A117" s="200">
        <f>Inquilini!B9</f>
        <v/>
      </c>
      <c r="B117" s="85">
        <f>+C10</f>
        <v/>
      </c>
      <c r="C117" s="86">
        <f>+$C$99*B117/1000</f>
        <v/>
      </c>
      <c r="D117" s="74">
        <f>+C117*$C$51</f>
        <v/>
      </c>
      <c r="M117" s="231" t="n"/>
    </row>
    <row r="118">
      <c r="A118" s="68" t="inlineStr">
        <is>
          <t>App. 09</t>
        </is>
      </c>
      <c r="B118" s="83" t="n"/>
      <c r="C118" s="84" t="n"/>
      <c r="D118" s="71" t="n"/>
      <c r="M118" s="231" t="n"/>
    </row>
    <row r="119">
      <c r="A119" s="200">
        <f>Inquilini!B10</f>
        <v/>
      </c>
      <c r="B119" s="85">
        <f>+C11</f>
        <v/>
      </c>
      <c r="C119" s="86">
        <f>+$C$99*B119/1000</f>
        <v/>
      </c>
      <c r="D119" s="74">
        <f>+C119*$C$51</f>
        <v/>
      </c>
    </row>
    <row r="120" ht="13.8" customHeight="1" thickBot="1">
      <c r="A120" s="25" t="inlineStr">
        <is>
          <t>App. 10</t>
        </is>
      </c>
      <c r="B120" s="87">
        <f>+C12</f>
        <v/>
      </c>
      <c r="C120" s="88">
        <f>+$C$99*B120/1000</f>
        <v/>
      </c>
      <c r="D120" s="76">
        <f>+C120*$C$51</f>
        <v/>
      </c>
    </row>
    <row r="121" ht="13.8" customHeight="1" thickBot="1">
      <c r="A121" s="89" t="inlineStr">
        <is>
          <t>TOTALE</t>
        </is>
      </c>
      <c r="B121" s="78">
        <f>SUM(B102:B120)</f>
        <v/>
      </c>
      <c r="C121" s="78">
        <f>SUM(C102:C120)</f>
        <v/>
      </c>
      <c r="D121" s="198">
        <f>SUM(D102:D120)</f>
        <v/>
      </c>
    </row>
    <row r="122" ht="13.8" customHeight="1" thickBot="1"/>
    <row r="123">
      <c r="A123" s="90" t="inlineStr">
        <is>
          <t>Temperatura acqua fredda</t>
        </is>
      </c>
      <c r="B123" s="23" t="inlineStr">
        <is>
          <t>°C</t>
        </is>
      </c>
      <c r="C123" s="226" t="n">
        <v>13</v>
      </c>
      <c r="D123" s="91" t="n"/>
    </row>
    <row r="124">
      <c r="A124" s="25" t="inlineStr">
        <is>
          <t>Temperatura produzione acqua calda</t>
        </is>
      </c>
      <c r="B124" s="19" t="inlineStr">
        <is>
          <t>°C</t>
        </is>
      </c>
      <c r="C124" s="227" t="n">
        <v>50</v>
      </c>
      <c r="D124" s="92" t="n"/>
    </row>
    <row r="125" ht="13.8" customHeight="1" thickBot="1">
      <c r="A125" s="28" t="n"/>
      <c r="D125" s="80" t="n"/>
    </row>
    <row r="126" ht="15.75" customHeight="1">
      <c r="A126" s="93" t="inlineStr">
        <is>
          <t xml:space="preserve">Letture contatori volumetrici a.c.s. consumo volontario acqua calda sanitaria </t>
        </is>
      </c>
      <c r="B126" s="94" t="n"/>
      <c r="C126" s="327" t="n"/>
      <c r="D126" s="55" t="n"/>
      <c r="E126" s="55" t="n"/>
      <c r="F126" s="39" t="n"/>
    </row>
    <row r="127" ht="26.25" customHeight="1">
      <c r="A127" s="43" t="n"/>
      <c r="B127" s="66" t="inlineStr">
        <is>
          <t>Lettura iniziale</t>
        </is>
      </c>
      <c r="C127" s="184" t="inlineStr">
        <is>
          <t>Lettura finale</t>
        </is>
      </c>
      <c r="D127" s="193" t="inlineStr">
        <is>
          <t>Consumo</t>
        </is>
      </c>
      <c r="E127" s="19" t="inlineStr">
        <is>
          <t>Energia</t>
        </is>
      </c>
      <c r="F127" s="67" t="inlineStr">
        <is>
          <t>Costo</t>
        </is>
      </c>
    </row>
    <row r="128">
      <c r="A128" s="95" t="n"/>
      <c r="B128" s="19" t="inlineStr">
        <is>
          <t>m³</t>
        </is>
      </c>
      <c r="C128" s="19" t="inlineStr">
        <is>
          <t>m³</t>
        </is>
      </c>
      <c r="D128" s="19" t="inlineStr">
        <is>
          <t>m³</t>
        </is>
      </c>
      <c r="E128" s="19" t="inlineStr">
        <is>
          <t>kWh</t>
        </is>
      </c>
      <c r="F128" s="67" t="inlineStr">
        <is>
          <t>€</t>
        </is>
      </c>
    </row>
    <row r="129">
      <c r="A129" s="68" t="inlineStr">
        <is>
          <t>App. 01</t>
        </is>
      </c>
      <c r="B129" s="328" t="n"/>
      <c r="C129" s="329" t="n"/>
      <c r="D129" s="329" t="n"/>
      <c r="E129" s="70" t="n"/>
      <c r="F129" s="71" t="n"/>
    </row>
    <row r="130">
      <c r="A130" s="200">
        <f>Inquilini!B2</f>
        <v/>
      </c>
      <c r="B130" s="330" t="n">
        <v>28.114</v>
      </c>
      <c r="C130" s="331" t="n"/>
      <c r="D130" s="332">
        <f>+C130-B130</f>
        <v/>
      </c>
      <c r="E130" s="73">
        <f>+D130*($C$124-$C$123)*1.16</f>
        <v/>
      </c>
      <c r="F130" s="74">
        <f>+E130*$C$51</f>
        <v/>
      </c>
      <c r="G130" s="239" t="n"/>
      <c r="H130" s="217" t="n"/>
    </row>
    <row r="131">
      <c r="A131" s="68" t="inlineStr">
        <is>
          <t>App. 02</t>
        </is>
      </c>
      <c r="B131" s="328" t="n"/>
      <c r="C131" s="333" t="n"/>
      <c r="D131" s="329" t="n"/>
      <c r="E131" s="70" t="n"/>
      <c r="F131" s="71" t="n"/>
      <c r="G131" s="216" t="n"/>
      <c r="H131" s="217" t="n"/>
    </row>
    <row r="132" ht="14.4" customHeight="1">
      <c r="A132" s="200">
        <f>Inquilini!B3</f>
        <v/>
      </c>
      <c r="B132" s="330" t="n">
        <v>28.212</v>
      </c>
      <c r="C132" s="331" t="n"/>
      <c r="D132" s="332">
        <f>+C132-B132</f>
        <v/>
      </c>
      <c r="E132" s="73">
        <f>+D132*($C$124-$C$123)*1.16</f>
        <v/>
      </c>
      <c r="F132" s="74">
        <f>+E132*$C$51</f>
        <v/>
      </c>
      <c r="G132" s="239" t="n"/>
      <c r="H132" s="229" t="n"/>
    </row>
    <row r="133">
      <c r="A133" s="68" t="inlineStr">
        <is>
          <t>App. 03</t>
        </is>
      </c>
      <c r="B133" s="328" t="n"/>
      <c r="C133" s="329" t="n"/>
      <c r="D133" s="329" t="n"/>
      <c r="E133" s="70" t="n"/>
      <c r="F133" s="71" t="n"/>
    </row>
    <row r="134">
      <c r="A134" s="200">
        <f>Inquilini!B4</f>
        <v/>
      </c>
      <c r="B134" s="330" t="n">
        <v>38.014</v>
      </c>
      <c r="C134" s="331" t="n"/>
      <c r="D134" s="332">
        <f>+C134-B134</f>
        <v/>
      </c>
      <c r="E134" s="73">
        <f>+D134*($C$124-$C$123)*1.16</f>
        <v/>
      </c>
      <c r="F134" s="74">
        <f>+E134*$C$51</f>
        <v/>
      </c>
      <c r="G134" s="239" t="n"/>
      <c r="H134" s="216" t="n"/>
    </row>
    <row r="135">
      <c r="A135" s="192" t="inlineStr">
        <is>
          <t>App. 04</t>
        </is>
      </c>
      <c r="B135" s="328" t="n"/>
      <c r="C135" s="333" t="n"/>
      <c r="D135" s="329" t="n"/>
      <c r="E135" s="70" t="n"/>
      <c r="F135" s="71" t="n"/>
    </row>
    <row r="136" ht="14.4" customHeight="1">
      <c r="A136" s="200">
        <f>Inquilini!B5</f>
        <v/>
      </c>
      <c r="B136" s="330" t="n">
        <v>27.352</v>
      </c>
      <c r="C136" s="331" t="n"/>
      <c r="D136" s="332">
        <f>+C136-B136</f>
        <v/>
      </c>
      <c r="E136" s="73">
        <f>+D136*($C$124-$C$123)*1.16</f>
        <v/>
      </c>
      <c r="F136" s="74">
        <f>+E136*$C$51</f>
        <v/>
      </c>
      <c r="G136" s="239" t="n"/>
      <c r="H136" s="229" t="n"/>
    </row>
    <row r="137">
      <c r="A137" s="192" t="inlineStr">
        <is>
          <t>App. 05</t>
        </is>
      </c>
      <c r="B137" s="328" t="n"/>
      <c r="C137" s="333" t="n"/>
      <c r="D137" s="329" t="n"/>
      <c r="E137" s="70" t="n"/>
      <c r="F137" s="71" t="n"/>
      <c r="H137" s="216" t="n"/>
    </row>
    <row r="138" ht="14.4" customHeight="1">
      <c r="A138" s="200">
        <f>Inquilini!B6</f>
        <v/>
      </c>
      <c r="B138" s="330" t="n">
        <v>22.169</v>
      </c>
      <c r="C138" s="331" t="n"/>
      <c r="D138" s="332">
        <f>+C138-B138</f>
        <v/>
      </c>
      <c r="E138" s="73">
        <f>+D138*($C$124-$C$123)*1.16</f>
        <v/>
      </c>
      <c r="F138" s="74">
        <f>+E138*$C$51</f>
        <v/>
      </c>
      <c r="G138" s="239" t="n"/>
      <c r="H138" s="229" t="n"/>
    </row>
    <row r="139">
      <c r="A139" s="68" t="inlineStr">
        <is>
          <t>App. 06</t>
        </is>
      </c>
      <c r="B139" s="328" t="n"/>
      <c r="C139" s="329" t="n"/>
      <c r="D139" s="329" t="n"/>
      <c r="E139" s="70" t="n"/>
      <c r="F139" s="71" t="n"/>
    </row>
    <row r="140">
      <c r="A140" s="200">
        <f>Inquilini!B7</f>
        <v/>
      </c>
      <c r="B140" s="330" t="n">
        <v>17.497</v>
      </c>
      <c r="C140" s="331" t="n"/>
      <c r="D140" s="332">
        <f>+C140-B140</f>
        <v/>
      </c>
      <c r="E140" s="73">
        <f>+D140*($C$124-$C$123)*1.16</f>
        <v/>
      </c>
      <c r="F140" s="74">
        <f>+E140*$C$51</f>
        <v/>
      </c>
      <c r="G140" s="239" t="n"/>
      <c r="H140" s="216" t="n"/>
    </row>
    <row r="141">
      <c r="A141" s="68" t="inlineStr">
        <is>
          <t>App. 07</t>
        </is>
      </c>
      <c r="B141" s="328" t="n"/>
      <c r="C141" s="334" t="n"/>
      <c r="D141" s="329" t="n"/>
      <c r="E141" s="70" t="n"/>
      <c r="F141" s="71" t="n"/>
      <c r="H141" s="216" t="n"/>
    </row>
    <row r="142" ht="14.4" customHeight="1">
      <c r="A142" s="200">
        <f>Inquilini!B8</f>
        <v/>
      </c>
      <c r="B142" s="330" t="n">
        <v>6.683</v>
      </c>
      <c r="C142" s="331" t="n"/>
      <c r="D142" s="332">
        <f>+C142-B142</f>
        <v/>
      </c>
      <c r="E142" s="73">
        <f>+D142*($C$124-$C$123)*1.16</f>
        <v/>
      </c>
      <c r="F142" s="74">
        <f>+E142*$C$51</f>
        <v/>
      </c>
      <c r="G142" s="239" t="n"/>
      <c r="H142" s="229" t="n"/>
    </row>
    <row r="143">
      <c r="A143" s="68" t="inlineStr">
        <is>
          <t>App. 08</t>
        </is>
      </c>
      <c r="B143" s="328" t="n"/>
      <c r="C143" s="329" t="n"/>
      <c r="D143" s="329" t="n"/>
      <c r="E143" s="70" t="n"/>
      <c r="F143" s="71" t="n"/>
    </row>
    <row r="144">
      <c r="A144" s="200">
        <f>Inquilini!B9</f>
        <v/>
      </c>
      <c r="B144" s="330" t="n">
        <v>102.587</v>
      </c>
      <c r="C144" s="331" t="n"/>
      <c r="D144" s="332">
        <f>+C144-B144</f>
        <v/>
      </c>
      <c r="E144" s="73">
        <f>+D144*($C$124-$C$123)*1.16</f>
        <v/>
      </c>
      <c r="F144" s="74">
        <f>+E144*$C$51</f>
        <v/>
      </c>
      <c r="G144" s="239" t="n"/>
      <c r="H144" s="217" t="n"/>
    </row>
    <row r="145">
      <c r="A145" s="68" t="inlineStr">
        <is>
          <t>App. 09</t>
        </is>
      </c>
      <c r="B145" s="328" t="n"/>
      <c r="C145" s="329" t="n"/>
      <c r="D145" s="329" t="n"/>
      <c r="E145" s="70" t="n"/>
      <c r="F145" s="71" t="n"/>
    </row>
    <row r="146">
      <c r="A146" s="200">
        <f>Inquilini!B10</f>
        <v/>
      </c>
      <c r="B146" s="330" t="n">
        <v>69.572</v>
      </c>
      <c r="C146" s="331" t="n"/>
      <c r="D146" s="332">
        <f>+C146-B146</f>
        <v/>
      </c>
      <c r="E146" s="73">
        <f>+D146*($C$124-$C$123)*1.16</f>
        <v/>
      </c>
      <c r="F146" s="74">
        <f>+E146*$C$51</f>
        <v/>
      </c>
      <c r="G146" s="239" t="n"/>
      <c r="H146" s="217" t="n"/>
    </row>
    <row r="147" ht="13.8" customHeight="1" thickBot="1">
      <c r="A147" s="25" t="inlineStr">
        <is>
          <t>App. 10</t>
        </is>
      </c>
      <c r="B147" s="335" t="n">
        <v>73.76000000000001</v>
      </c>
      <c r="C147" s="336" t="n"/>
      <c r="D147" s="337">
        <f>+C147-B147</f>
        <v/>
      </c>
      <c r="E147" s="75">
        <f>+D147*($C$124-$C$123)*1.16</f>
        <v/>
      </c>
      <c r="F147" s="76">
        <f>+E147*$C$51</f>
        <v/>
      </c>
      <c r="G147" s="216" t="n"/>
      <c r="H147" s="217" t="n"/>
    </row>
    <row r="148" ht="13.8" customHeight="1" thickBot="1">
      <c r="A148" s="89" t="inlineStr">
        <is>
          <t>TOTALE</t>
        </is>
      </c>
      <c r="B148" s="338">
        <f>SUM(B130:B147)</f>
        <v/>
      </c>
      <c r="C148" s="338">
        <f>SUM(C130:C147)</f>
        <v/>
      </c>
      <c r="D148" s="194">
        <f>SUM(D129:D147)</f>
        <v/>
      </c>
      <c r="E148" s="100">
        <f>SUM(E129:E147)</f>
        <v/>
      </c>
      <c r="F148" s="101">
        <f>SUM(F129:F147)</f>
        <v/>
      </c>
      <c r="H148" s="217" t="n"/>
      <c r="L148" s="239" t="n"/>
      <c r="M148" s="21" t="n"/>
    </row>
    <row r="149" ht="13.8" customHeight="1" thickBot="1">
      <c r="A149" s="21" t="n"/>
      <c r="B149" s="44" t="n"/>
      <c r="C149" s="21" t="n"/>
      <c r="D149" s="102" t="n"/>
      <c r="E149" s="103" t="n"/>
      <c r="F149" s="104" t="n"/>
    </row>
    <row r="150">
      <c r="A150" s="90" t="inlineStr">
        <is>
          <t>Energia utile utilizzata</t>
        </is>
      </c>
      <c r="B150" s="23" t="inlineStr">
        <is>
          <t>kWh</t>
        </is>
      </c>
      <c r="C150" s="105">
        <f>+C55</f>
        <v/>
      </c>
    </row>
    <row r="151">
      <c r="A151" s="25" t="inlineStr">
        <is>
          <t>Prelievo volontario acqua calda sanitaria</t>
        </is>
      </c>
      <c r="B151" s="19" t="inlineStr">
        <is>
          <t>kWh</t>
        </is>
      </c>
      <c r="C151" s="106">
        <f>+E148</f>
        <v/>
      </c>
    </row>
    <row r="152" ht="13.8" customHeight="1" thickBot="1">
      <c r="A152" s="40" t="inlineStr">
        <is>
          <t>Consumi involontario</t>
        </is>
      </c>
      <c r="B152" s="41" t="inlineStr">
        <is>
          <t>kWh</t>
        </is>
      </c>
      <c r="C152" s="107">
        <f>+C150-C151</f>
        <v/>
      </c>
    </row>
    <row r="153" ht="13.8" customHeight="1" thickBot="1"/>
    <row r="154">
      <c r="A154" s="93" t="inlineStr">
        <is>
          <t>Energia involontaria per a.c.s.</t>
        </is>
      </c>
      <c r="B154" s="23" t="inlineStr">
        <is>
          <t>kWh</t>
        </is>
      </c>
      <c r="C154" s="63">
        <f>+C152</f>
        <v/>
      </c>
      <c r="D154" s="39" t="n"/>
    </row>
    <row r="155">
      <c r="A155" s="28" t="n"/>
      <c r="B155" s="19" t="inlineStr">
        <is>
          <t>Millesimi</t>
        </is>
      </c>
      <c r="C155" s="19" t="inlineStr">
        <is>
          <t>Energia</t>
        </is>
      </c>
      <c r="D155" s="196" t="inlineStr">
        <is>
          <t>Costo</t>
        </is>
      </c>
    </row>
    <row r="156">
      <c r="A156" s="28" t="n"/>
      <c r="B156" s="19" t="n"/>
      <c r="C156" s="19" t="inlineStr">
        <is>
          <t>kWh</t>
        </is>
      </c>
      <c r="D156" s="67" t="inlineStr">
        <is>
          <t>€</t>
        </is>
      </c>
    </row>
    <row r="157">
      <c r="A157" s="68" t="inlineStr">
        <is>
          <t>App. 01</t>
        </is>
      </c>
      <c r="B157" s="83" t="n"/>
      <c r="C157" s="70" t="n"/>
      <c r="D157" s="71" t="n"/>
    </row>
    <row r="158">
      <c r="A158" s="200">
        <f>Inquilini!B2</f>
        <v/>
      </c>
      <c r="B158" s="85">
        <f>D3</f>
        <v/>
      </c>
      <c r="C158" s="73">
        <f>+$C$154*B158/1000</f>
        <v/>
      </c>
      <c r="D158" s="74">
        <f>+C158*$C$51</f>
        <v/>
      </c>
    </row>
    <row r="159">
      <c r="A159" s="68" t="inlineStr">
        <is>
          <t>App. 02</t>
        </is>
      </c>
      <c r="B159" s="83" t="n"/>
      <c r="C159" s="70" t="n"/>
      <c r="D159" s="71" t="n"/>
    </row>
    <row r="160">
      <c r="A160" s="200">
        <f>Inquilini!B3</f>
        <v/>
      </c>
      <c r="B160" s="85">
        <f>D4</f>
        <v/>
      </c>
      <c r="C160" s="73">
        <f>+$C$154*B160/1000</f>
        <v/>
      </c>
      <c r="D160" s="74">
        <f>+C160*$C$51</f>
        <v/>
      </c>
    </row>
    <row r="161">
      <c r="A161" s="68" t="inlineStr">
        <is>
          <t>App. 03</t>
        </is>
      </c>
      <c r="B161" s="83" t="n"/>
      <c r="C161" s="70" t="n"/>
      <c r="D161" s="71" t="n"/>
    </row>
    <row r="162">
      <c r="A162" s="200">
        <f>Inquilini!B4</f>
        <v/>
      </c>
      <c r="B162" s="85">
        <f>D5</f>
        <v/>
      </c>
      <c r="C162" s="73">
        <f>+$C$154*B162/1000</f>
        <v/>
      </c>
      <c r="D162" s="74">
        <f>+C162*$C$51</f>
        <v/>
      </c>
      <c r="E162" s="231" t="n"/>
    </row>
    <row r="163">
      <c r="A163" s="192" t="inlineStr">
        <is>
          <t>App. 04</t>
        </is>
      </c>
      <c r="B163" s="83" t="n"/>
      <c r="C163" s="70" t="n"/>
      <c r="D163" s="71" t="n"/>
    </row>
    <row r="164">
      <c r="A164" s="200">
        <f>Inquilini!B5</f>
        <v/>
      </c>
      <c r="B164" s="85">
        <f>D6</f>
        <v/>
      </c>
      <c r="C164" s="73">
        <f>+$C$154*B164/1000</f>
        <v/>
      </c>
      <c r="D164" s="74">
        <f>+C164*$C$51</f>
        <v/>
      </c>
      <c r="E164" s="18" t="n"/>
    </row>
    <row r="165">
      <c r="A165" s="192" t="inlineStr">
        <is>
          <t>App. 05</t>
        </is>
      </c>
      <c r="B165" s="83" t="n"/>
      <c r="C165" s="70" t="n"/>
      <c r="D165" s="71" t="n"/>
    </row>
    <row r="166">
      <c r="A166" s="200">
        <f>Inquilini!B6</f>
        <v/>
      </c>
      <c r="B166" s="85">
        <f>D7</f>
        <v/>
      </c>
      <c r="C166" s="73">
        <f>+$C$154*B166/1000</f>
        <v/>
      </c>
      <c r="D166" s="74">
        <f>+C166*$C$51</f>
        <v/>
      </c>
    </row>
    <row r="167">
      <c r="A167" s="68" t="inlineStr">
        <is>
          <t>App. 06</t>
        </is>
      </c>
      <c r="B167" s="83" t="n"/>
      <c r="C167" s="70" t="n"/>
      <c r="D167" s="71" t="n"/>
    </row>
    <row r="168">
      <c r="A168" s="200">
        <f>Inquilini!B7</f>
        <v/>
      </c>
      <c r="B168" s="85">
        <f>D8</f>
        <v/>
      </c>
      <c r="C168" s="73">
        <f>+$C$154*B168/1000</f>
        <v/>
      </c>
      <c r="D168" s="74">
        <f>+C168*$C$51</f>
        <v/>
      </c>
    </row>
    <row r="169">
      <c r="A169" s="68" t="inlineStr">
        <is>
          <t>App. 07</t>
        </is>
      </c>
      <c r="B169" s="83" t="n"/>
      <c r="C169" s="70" t="n"/>
      <c r="D169" s="71" t="n"/>
    </row>
    <row r="170">
      <c r="A170" s="200">
        <f>Inquilini!B8</f>
        <v/>
      </c>
      <c r="B170" s="85">
        <f>D9</f>
        <v/>
      </c>
      <c r="C170" s="73">
        <f>+$C$154*B170/1000</f>
        <v/>
      </c>
      <c r="D170" s="74">
        <f>+C170*$C$51</f>
        <v/>
      </c>
      <c r="E170" s="18" t="n"/>
    </row>
    <row r="171">
      <c r="A171" s="68" t="inlineStr">
        <is>
          <t>App. 08</t>
        </is>
      </c>
      <c r="B171" s="83" t="n"/>
      <c r="C171" s="70" t="n"/>
      <c r="D171" s="71" t="n"/>
    </row>
    <row r="172">
      <c r="A172" s="200">
        <f>Inquilini!B9</f>
        <v/>
      </c>
      <c r="B172" s="85">
        <f>D10</f>
        <v/>
      </c>
      <c r="C172" s="73">
        <f>+$C$154*B172/1000</f>
        <v/>
      </c>
      <c r="D172" s="74">
        <f>+C172*$C$51</f>
        <v/>
      </c>
    </row>
    <row r="173">
      <c r="A173" s="68" t="inlineStr">
        <is>
          <t>App. 09</t>
        </is>
      </c>
      <c r="B173" s="83" t="n"/>
      <c r="C173" s="70" t="n"/>
      <c r="D173" s="71" t="n"/>
    </row>
    <row r="174" ht="13.8" customHeight="1" thickBot="1">
      <c r="A174" s="200">
        <f>Inquilini!B10</f>
        <v/>
      </c>
      <c r="B174" s="85">
        <f>D11</f>
        <v/>
      </c>
      <c r="C174" s="73">
        <f>+$C$154*B174/1000</f>
        <v/>
      </c>
      <c r="D174" s="74">
        <f>+C174*$C$51</f>
        <v/>
      </c>
    </row>
    <row r="175" ht="13.8" customHeight="1" thickBot="1">
      <c r="A175" s="25" t="inlineStr">
        <is>
          <t>App. 10</t>
        </is>
      </c>
      <c r="B175" s="87">
        <f>+D12</f>
        <v/>
      </c>
      <c r="C175" s="75">
        <f>+$C$154*B175/1000</f>
        <v/>
      </c>
      <c r="D175" s="108">
        <f>+C175*$C$51</f>
        <v/>
      </c>
      <c r="E175" s="109" t="inlineStr">
        <is>
          <t>somma</t>
        </is>
      </c>
      <c r="F175" s="110">
        <f>SUM(D157:D175)</f>
        <v/>
      </c>
    </row>
    <row r="176" ht="13.8" customHeight="1" thickBot="1">
      <c r="A176" s="89" t="inlineStr">
        <is>
          <t>TOTALE</t>
        </is>
      </c>
      <c r="B176" s="228">
        <f>SUM(B157:B175)</f>
        <v/>
      </c>
      <c r="C176" s="100">
        <f>SUM(C157:C175)</f>
        <v/>
      </c>
      <c r="D176" s="197">
        <f>+C176*$C$51</f>
        <v/>
      </c>
    </row>
    <row r="177" ht="13.8" customHeight="1" thickBot="1"/>
    <row r="178">
      <c r="A178" s="215" t="inlineStr">
        <is>
          <t>Letture contatori volumetrici ACQUA SANITARIA</t>
        </is>
      </c>
      <c r="B178" s="220" t="n">
        <v>46022</v>
      </c>
      <c r="C178" s="255" t="n"/>
      <c r="D178" s="55" t="n"/>
      <c r="E178" s="55" t="n"/>
      <c r="F178" s="39" t="n"/>
    </row>
    <row r="179" ht="39.6" customHeight="1">
      <c r="A179" s="43" t="n"/>
      <c r="B179" s="66" t="inlineStr">
        <is>
          <t>Lettura iniziale A.F.S.</t>
        </is>
      </c>
      <c r="C179" s="66" t="inlineStr">
        <is>
          <t>Lettura finale A.F.S.</t>
        </is>
      </c>
      <c r="D179" s="221" t="inlineStr">
        <is>
          <t>Consumo A.F.S.</t>
        </is>
      </c>
      <c r="E179" s="188" t="inlineStr">
        <is>
          <t>Consumo finale A.C.S.</t>
        </is>
      </c>
      <c r="F179" s="195" t="inlineStr">
        <is>
          <t>Costo</t>
        </is>
      </c>
    </row>
    <row r="180">
      <c r="A180" s="95" t="n"/>
      <c r="B180" s="19" t="inlineStr">
        <is>
          <t>m³</t>
        </is>
      </c>
      <c r="C180" s="19" t="inlineStr">
        <is>
          <t>m³</t>
        </is>
      </c>
      <c r="D180" s="19" t="inlineStr">
        <is>
          <t>m³</t>
        </is>
      </c>
      <c r="E180" s="19" t="inlineStr">
        <is>
          <t>m³</t>
        </is>
      </c>
      <c r="F180" s="67" t="inlineStr">
        <is>
          <t>€</t>
        </is>
      </c>
      <c r="G180" s="82" t="n"/>
    </row>
    <row r="181">
      <c r="A181" s="68" t="inlineStr">
        <is>
          <t>App. 01</t>
        </is>
      </c>
      <c r="B181" s="328" t="n"/>
      <c r="C181" s="328" t="n"/>
      <c r="D181" s="329" t="n"/>
      <c r="E181" s="329" t="n"/>
      <c r="F181" s="71" t="n"/>
      <c r="G181" s="82" t="n"/>
    </row>
    <row r="182">
      <c r="A182" s="200">
        <f>Inquilini!B2</f>
        <v/>
      </c>
      <c r="B182" s="330" t="n">
        <v>42.48</v>
      </c>
      <c r="C182" s="339" t="n"/>
      <c r="D182" s="340">
        <f>+C182-B182</f>
        <v/>
      </c>
      <c r="E182" s="340">
        <f>D130</f>
        <v/>
      </c>
      <c r="F182" s="74">
        <f>(D182+E182)*Tabella_2026!costoafs</f>
        <v/>
      </c>
      <c r="G182" s="82" t="n"/>
    </row>
    <row r="183">
      <c r="A183" s="68" t="inlineStr">
        <is>
          <t>App. 02</t>
        </is>
      </c>
      <c r="B183" s="328" t="n"/>
      <c r="C183" s="328" t="n"/>
      <c r="D183" s="334" t="n"/>
      <c r="E183" s="334" t="n"/>
      <c r="F183" s="71" t="n"/>
      <c r="G183" s="82" t="n"/>
    </row>
    <row r="184">
      <c r="A184" s="200">
        <f>Inquilini!B3</f>
        <v/>
      </c>
      <c r="B184" s="330" t="n">
        <v>49.75</v>
      </c>
      <c r="C184" s="339" t="n"/>
      <c r="D184" s="340">
        <f>+C184-B184</f>
        <v/>
      </c>
      <c r="E184" s="340">
        <f>D132</f>
        <v/>
      </c>
      <c r="F184" s="74">
        <f>(D184+E184)*Tabella_2026!costoafs</f>
        <v/>
      </c>
      <c r="G184" s="82" t="n"/>
    </row>
    <row r="185">
      <c r="A185" s="68" t="inlineStr">
        <is>
          <t>App. 03</t>
        </is>
      </c>
      <c r="B185" s="328" t="n"/>
      <c r="C185" s="328" t="n"/>
      <c r="D185" s="329" t="n"/>
      <c r="E185" s="329" t="n"/>
      <c r="F185" s="71" t="n"/>
      <c r="G185" s="82" t="n"/>
    </row>
    <row r="186">
      <c r="A186" s="200">
        <f>Inquilini!B4</f>
        <v/>
      </c>
      <c r="B186" s="341" t="n">
        <v>67</v>
      </c>
      <c r="C186" s="339" t="n"/>
      <c r="D186" s="340">
        <f>+C186-B186</f>
        <v/>
      </c>
      <c r="E186" s="340">
        <f>D134</f>
        <v/>
      </c>
      <c r="F186" s="74">
        <f>(D186+E186)*Tabella_2026!costoafs</f>
        <v/>
      </c>
      <c r="G186" s="82" t="n"/>
      <c r="I186" s="291" t="inlineStr">
        <is>
          <t>lettura manuale da Baby</t>
        </is>
      </c>
      <c r="J186" s="81" t="n"/>
    </row>
    <row r="187">
      <c r="A187" s="190" t="inlineStr">
        <is>
          <t>App. 04</t>
        </is>
      </c>
      <c r="B187" s="328" t="n"/>
      <c r="C187" s="328" t="n"/>
      <c r="D187" s="334" t="n"/>
      <c r="E187" s="334" t="n"/>
      <c r="F187" s="71" t="n"/>
      <c r="G187" s="82" t="n"/>
    </row>
    <row r="188">
      <c r="A188" s="200">
        <f>Inquilini!B5</f>
        <v/>
      </c>
      <c r="B188" s="330" t="n">
        <v>36.99</v>
      </c>
      <c r="C188" s="339" t="n"/>
      <c r="D188" s="340">
        <f>+C188-B188</f>
        <v/>
      </c>
      <c r="E188" s="340">
        <f>D136</f>
        <v/>
      </c>
      <c r="F188" s="74">
        <f>(D188+E188)*Tabella_2026!costoafs</f>
        <v/>
      </c>
      <c r="G188" s="82" t="n"/>
    </row>
    <row r="189">
      <c r="A189" s="192" t="inlineStr">
        <is>
          <t>App. 05</t>
        </is>
      </c>
      <c r="B189" s="328" t="n"/>
      <c r="C189" s="328" t="n"/>
      <c r="D189" s="334" t="n"/>
      <c r="E189" s="334" t="n"/>
      <c r="F189" s="71" t="n"/>
      <c r="G189" s="82" t="n"/>
    </row>
    <row r="190">
      <c r="A190" s="200">
        <f>Inquilini!B6</f>
        <v/>
      </c>
      <c r="B190" s="330" t="n">
        <v>23.37</v>
      </c>
      <c r="C190" s="339" t="n"/>
      <c r="D190" s="340">
        <f>+C190-B190</f>
        <v/>
      </c>
      <c r="E190" s="340">
        <f>D138</f>
        <v/>
      </c>
      <c r="F190" s="74">
        <f>(D190+E190)*Tabella_2026!costoafs</f>
        <v/>
      </c>
      <c r="G190" s="82" t="n"/>
    </row>
    <row r="191">
      <c r="A191" s="68" t="inlineStr">
        <is>
          <t>App. 06</t>
        </is>
      </c>
      <c r="B191" s="328" t="n"/>
      <c r="C191" s="328" t="n"/>
      <c r="D191" s="334" t="n"/>
      <c r="E191" s="329" t="n"/>
      <c r="F191" s="71" t="n"/>
      <c r="G191" s="82" t="n"/>
    </row>
    <row r="192">
      <c r="A192" s="200">
        <f>Inquilini!B7</f>
        <v/>
      </c>
      <c r="B192" s="330" t="n">
        <v>19.67</v>
      </c>
      <c r="C192" s="339" t="n"/>
      <c r="D192" s="340">
        <f>+C192-B192</f>
        <v/>
      </c>
      <c r="E192" s="340">
        <f>D140</f>
        <v/>
      </c>
      <c r="F192" s="74">
        <f>(D192+E192)*Tabella_2026!costoafs</f>
        <v/>
      </c>
      <c r="G192" s="82" t="n"/>
    </row>
    <row r="193">
      <c r="A193" s="68" t="inlineStr">
        <is>
          <t>App. 07</t>
        </is>
      </c>
      <c r="B193" s="328" t="n"/>
      <c r="C193" s="328" t="n"/>
      <c r="D193" s="334" t="n"/>
      <c r="E193" s="334" t="n"/>
      <c r="F193" s="71" t="n"/>
      <c r="G193" s="82" t="n"/>
    </row>
    <row r="194">
      <c r="A194" s="200">
        <f>Inquilini!B8</f>
        <v/>
      </c>
      <c r="B194" s="330" t="n">
        <v>6.87</v>
      </c>
      <c r="C194" s="339" t="n"/>
      <c r="D194" s="340">
        <f>+C194-B194</f>
        <v/>
      </c>
      <c r="E194" s="340">
        <f>D142</f>
        <v/>
      </c>
      <c r="F194" s="74">
        <f>(D194+E194)*Tabella_2026!costoafs</f>
        <v/>
      </c>
      <c r="G194" s="82" t="n"/>
    </row>
    <row r="195">
      <c r="A195" s="68" t="inlineStr">
        <is>
          <t>App. 08</t>
        </is>
      </c>
      <c r="B195" s="328" t="n"/>
      <c r="C195" s="328" t="n"/>
      <c r="D195" s="334" t="n"/>
      <c r="E195" s="329" t="n"/>
      <c r="F195" s="71">
        <f>(D195+E195)*Tabella_2026!costoafs</f>
        <v/>
      </c>
      <c r="G195" s="82" t="n"/>
    </row>
    <row r="196">
      <c r="A196" s="200">
        <f>Inquilini!B9</f>
        <v/>
      </c>
      <c r="B196" s="330" t="n">
        <v>88.23999999999999</v>
      </c>
      <c r="C196" s="339" t="n"/>
      <c r="D196" s="340">
        <f>+C196-B196</f>
        <v/>
      </c>
      <c r="E196" s="340">
        <f>D144</f>
        <v/>
      </c>
      <c r="F196" s="74">
        <f>(D196+E196)*Tabella_2026!costoafs</f>
        <v/>
      </c>
      <c r="G196" s="82" t="n"/>
    </row>
    <row r="197">
      <c r="A197" s="68" t="inlineStr">
        <is>
          <t>App. 09</t>
        </is>
      </c>
      <c r="B197" s="328" t="n"/>
      <c r="C197" s="328" t="n"/>
      <c r="D197" s="334" t="n"/>
      <c r="E197" s="329" t="n"/>
      <c r="F197" s="71">
        <f>(D197+E197)*Tabella_2026!costoafs</f>
        <v/>
      </c>
      <c r="G197" s="82" t="n"/>
    </row>
    <row r="198">
      <c r="A198" s="200">
        <f>Inquilini!B10</f>
        <v/>
      </c>
      <c r="B198" s="330" t="n">
        <v>51.03</v>
      </c>
      <c r="C198" s="339" t="n"/>
      <c r="D198" s="340">
        <f>+C198-B198</f>
        <v/>
      </c>
      <c r="E198" s="340">
        <f>D146</f>
        <v/>
      </c>
      <c r="F198" s="74">
        <f>(D198+E198)*Tabella_2026!costoafs</f>
        <v/>
      </c>
      <c r="G198" s="82" t="n"/>
    </row>
    <row r="199" ht="13.8" customHeight="1" thickBot="1">
      <c r="A199" s="25" t="inlineStr">
        <is>
          <t>App. 10</t>
        </is>
      </c>
      <c r="B199" s="335" t="n">
        <v>44.23</v>
      </c>
      <c r="C199" s="336" t="n"/>
      <c r="D199" s="342">
        <f>+C199-B199</f>
        <v/>
      </c>
      <c r="E199" s="337">
        <f>D147</f>
        <v/>
      </c>
      <c r="F199" s="76">
        <f>(D199+E199)*Tabella_2026!costoafs</f>
        <v/>
      </c>
      <c r="G199" s="82" t="n"/>
    </row>
    <row r="200" ht="13.8" customHeight="1" thickBot="1">
      <c r="A200" s="89" t="inlineStr">
        <is>
          <t>TOTALE</t>
        </is>
      </c>
      <c r="B200" s="343">
        <f>SUM(B181:B199)</f>
        <v/>
      </c>
      <c r="C200" s="343">
        <f>SUM(C181:C199)</f>
        <v/>
      </c>
      <c r="D200" s="99">
        <f>SUM(D181:D199)</f>
        <v/>
      </c>
      <c r="E200" s="99">
        <f>SUM(E181:E199)</f>
        <v/>
      </c>
      <c r="F200" s="101">
        <f>SUM(F181:F199)</f>
        <v/>
      </c>
      <c r="G200" s="82" t="n"/>
      <c r="L200" s="21" t="n"/>
      <c r="M200" s="21" t="n"/>
    </row>
    <row r="201" ht="13.8" customHeight="1" thickBot="1">
      <c r="G201" s="82" t="n"/>
    </row>
    <row r="202">
      <c r="A202" s="113" t="inlineStr">
        <is>
          <t>Spese di gestione:  letture, manutenz, sale, eccetera</t>
        </is>
      </c>
      <c r="B202" s="292" t="inlineStr">
        <is>
          <t xml:space="preserve">riscaldamento </t>
        </is>
      </c>
      <c r="C202" s="344" t="n"/>
      <c r="D202" s="292" t="inlineStr">
        <is>
          <t>acqua calda sanitaria</t>
        </is>
      </c>
      <c r="E202" s="344" t="n"/>
    </row>
    <row r="203">
      <c r="A203" s="114" t="n"/>
      <c r="B203" s="115" t="inlineStr">
        <is>
          <t>Millesimi</t>
        </is>
      </c>
      <c r="C203" s="116" t="inlineStr">
        <is>
          <t>€</t>
        </is>
      </c>
      <c r="D203" s="115" t="inlineStr">
        <is>
          <t>Millesimi</t>
        </is>
      </c>
      <c r="E203" s="116" t="inlineStr">
        <is>
          <t>€</t>
        </is>
      </c>
    </row>
    <row r="204">
      <c r="A204" s="68" t="inlineStr">
        <is>
          <t>App. 01</t>
        </is>
      </c>
      <c r="E204" s="80" t="n"/>
    </row>
    <row r="205">
      <c r="A205" s="200">
        <f>Inquilini!B2</f>
        <v/>
      </c>
      <c r="B205" s="279">
        <f>+C3</f>
        <v/>
      </c>
      <c r="C205" s="280">
        <f>+$C$65*B205/1000</f>
        <v/>
      </c>
      <c r="D205" s="281">
        <f>+D3</f>
        <v/>
      </c>
      <c r="E205" s="282">
        <f>+$C$66*D205/1000</f>
        <v/>
      </c>
    </row>
    <row r="206">
      <c r="A206" s="68" t="inlineStr">
        <is>
          <t>App. 02</t>
        </is>
      </c>
      <c r="E206" s="80" t="n"/>
    </row>
    <row r="207">
      <c r="A207" s="200">
        <f>Inquilini!B3</f>
        <v/>
      </c>
      <c r="B207" s="279">
        <f>+C4</f>
        <v/>
      </c>
      <c r="C207" s="280">
        <f>+$C$65*B207/1000</f>
        <v/>
      </c>
      <c r="D207" s="281">
        <f>+D4</f>
        <v/>
      </c>
      <c r="E207" s="282">
        <f>+$C$66*D207/1000</f>
        <v/>
      </c>
    </row>
    <row r="208">
      <c r="A208" s="68" t="inlineStr">
        <is>
          <t>App. 03</t>
        </is>
      </c>
      <c r="E208" s="80" t="n"/>
    </row>
    <row r="209">
      <c r="A209" s="72">
        <f>Inquilini!B4</f>
        <v/>
      </c>
      <c r="B209" s="279">
        <f>+C5</f>
        <v/>
      </c>
      <c r="C209" s="280">
        <f>+$C$65*B209/1000</f>
        <v/>
      </c>
      <c r="D209" s="281">
        <f>+D5</f>
        <v/>
      </c>
      <c r="E209" s="282">
        <f>+$C$66*D209/1000</f>
        <v/>
      </c>
    </row>
    <row r="210">
      <c r="A210" s="192" t="inlineStr">
        <is>
          <t>App. 04</t>
        </is>
      </c>
      <c r="E210" s="80" t="n"/>
    </row>
    <row r="211">
      <c r="A211" s="200">
        <f>Inquilini!B5</f>
        <v/>
      </c>
      <c r="B211" s="279">
        <f>+C6</f>
        <v/>
      </c>
      <c r="C211" s="280">
        <f>+$C$65*B211/1000</f>
        <v/>
      </c>
      <c r="D211" s="281">
        <f>+D6</f>
        <v/>
      </c>
      <c r="E211" s="282">
        <f>+$C$66*D211/1000</f>
        <v/>
      </c>
    </row>
    <row r="212">
      <c r="A212" s="192" t="inlineStr">
        <is>
          <t>App. 05</t>
        </is>
      </c>
      <c r="E212" s="80" t="n"/>
    </row>
    <row r="213">
      <c r="A213" s="200">
        <f>Inquilini!B6</f>
        <v/>
      </c>
      <c r="B213" s="279">
        <f>+C7</f>
        <v/>
      </c>
      <c r="C213" s="280">
        <f>+$C$65*B213/1000</f>
        <v/>
      </c>
      <c r="D213" s="281">
        <f>+D7</f>
        <v/>
      </c>
      <c r="E213" s="282">
        <f>+$C$66*D213/1000</f>
        <v/>
      </c>
    </row>
    <row r="214">
      <c r="A214" s="68" t="inlineStr">
        <is>
          <t>App. 06</t>
        </is>
      </c>
      <c r="E214" s="80" t="n"/>
    </row>
    <row r="215">
      <c r="A215" s="200">
        <f>Inquilini!B7</f>
        <v/>
      </c>
      <c r="B215" s="279">
        <f>+C8</f>
        <v/>
      </c>
      <c r="C215" s="280">
        <f>+$C$65*B215/1000</f>
        <v/>
      </c>
      <c r="D215" s="281">
        <f>+D8</f>
        <v/>
      </c>
      <c r="E215" s="282">
        <f>+$C$66*D215/1000</f>
        <v/>
      </c>
    </row>
    <row r="216">
      <c r="A216" s="68" t="inlineStr">
        <is>
          <t>App. 07</t>
        </is>
      </c>
      <c r="E216" s="80" t="n"/>
    </row>
    <row r="217">
      <c r="A217" s="200">
        <f>Inquilini!B8</f>
        <v/>
      </c>
      <c r="B217" s="279">
        <f>+C9</f>
        <v/>
      </c>
      <c r="C217" s="280">
        <f>+$C$65*B217/1000</f>
        <v/>
      </c>
      <c r="D217" s="281">
        <f>+D9</f>
        <v/>
      </c>
      <c r="E217" s="282">
        <f>+$C$66*D217/1000</f>
        <v/>
      </c>
    </row>
    <row r="218">
      <c r="A218" s="68" t="inlineStr">
        <is>
          <t>App. 08</t>
        </is>
      </c>
      <c r="E218" s="80" t="n"/>
    </row>
    <row r="219">
      <c r="A219" s="200">
        <f>Inquilini!B9</f>
        <v/>
      </c>
      <c r="B219" s="279">
        <f>+C10</f>
        <v/>
      </c>
      <c r="C219" s="280">
        <f>+$C$65*B219/1000</f>
        <v/>
      </c>
      <c r="D219" s="281">
        <f>+D10</f>
        <v/>
      </c>
      <c r="E219" s="282">
        <f>+$C$66*D219/1000</f>
        <v/>
      </c>
    </row>
    <row r="220">
      <c r="A220" s="68" t="inlineStr">
        <is>
          <t>App. 09</t>
        </is>
      </c>
      <c r="E220" s="80" t="n"/>
    </row>
    <row r="221">
      <c r="A221" s="200">
        <f>Inquilini!B10</f>
        <v/>
      </c>
      <c r="B221" s="279">
        <f>+C11</f>
        <v/>
      </c>
      <c r="C221" s="280">
        <f>+$C$65*B221/1000</f>
        <v/>
      </c>
      <c r="D221" s="281">
        <f>+D11</f>
        <v/>
      </c>
      <c r="E221" s="282">
        <f>+$C$66*D221/1000</f>
        <v/>
      </c>
    </row>
    <row r="222" ht="13.8" customHeight="1" thickBot="1">
      <c r="A222" s="25" t="inlineStr">
        <is>
          <t>App. 10</t>
        </is>
      </c>
      <c r="B222" s="277">
        <f>+C12</f>
        <v/>
      </c>
      <c r="C222" s="88">
        <f>+$C$65*B222/1000</f>
        <v/>
      </c>
      <c r="D222" s="278">
        <f>+D12</f>
        <v/>
      </c>
      <c r="E222" s="130">
        <f>+$C$66*D222/1000</f>
        <v/>
      </c>
    </row>
    <row r="223" ht="13.8" customHeight="1" thickBot="1">
      <c r="A223" s="89" t="inlineStr">
        <is>
          <t>TOTALE</t>
        </is>
      </c>
      <c r="B223" s="275">
        <f>SUM(B205:B222)</f>
        <v/>
      </c>
      <c r="C223" s="276">
        <f>SUM(C205:C222)</f>
        <v/>
      </c>
      <c r="D223" s="275">
        <f>SUM(D205:D222)</f>
        <v/>
      </c>
      <c r="E223" s="283">
        <f>SUM(E205:E222)</f>
        <v/>
      </c>
      <c r="F223" s="117" t="inlineStr">
        <is>
          <t>totale</t>
        </is>
      </c>
      <c r="G223" s="118">
        <f>C223+E223</f>
        <v/>
      </c>
    </row>
    <row r="224" ht="13.8" customHeight="1" thickBot="1"/>
    <row r="225">
      <c r="A225" s="54" t="inlineStr">
        <is>
          <t>Ripartizione totale energetica + gestione</t>
        </is>
      </c>
      <c r="B225" s="345" t="inlineStr">
        <is>
          <t>Acqua Calda Sanitaria</t>
        </is>
      </c>
      <c r="C225" s="346" t="n"/>
      <c r="D225" s="347" t="inlineStr">
        <is>
          <t>Riscaldamento.</t>
        </is>
      </c>
      <c r="E225" s="346" t="n"/>
      <c r="F225" s="348" t="inlineStr">
        <is>
          <t>Acqua Sanitaria</t>
        </is>
      </c>
      <c r="G225" s="349" t="inlineStr">
        <is>
          <t>Gest.ne: manut.sale.lett</t>
        </is>
      </c>
      <c r="H225" s="346" t="n"/>
      <c r="I225" s="350" t="inlineStr">
        <is>
          <t>TOTALE</t>
        </is>
      </c>
    </row>
    <row r="226" ht="13.8" customHeight="1" thickBot="1">
      <c r="A226" s="40" t="n"/>
      <c r="B226" s="119" t="inlineStr">
        <is>
          <t>vol.</t>
        </is>
      </c>
      <c r="C226" s="120" t="inlineStr">
        <is>
          <t>inv.</t>
        </is>
      </c>
      <c r="D226" s="119" t="inlineStr">
        <is>
          <t>vol.</t>
        </is>
      </c>
      <c r="E226" s="120" t="inlineStr">
        <is>
          <t>inv.</t>
        </is>
      </c>
      <c r="F226" s="351" t="n"/>
      <c r="G226" s="119" t="inlineStr">
        <is>
          <t>risc.</t>
        </is>
      </c>
      <c r="H226" s="120" t="inlineStr">
        <is>
          <t>a.c.s.</t>
        </is>
      </c>
      <c r="I226" s="351" t="n"/>
    </row>
    <row r="227">
      <c r="A227" s="25" t="n"/>
      <c r="B227" s="121" t="inlineStr">
        <is>
          <t>€</t>
        </is>
      </c>
      <c r="C227" s="67" t="inlineStr">
        <is>
          <t>€</t>
        </is>
      </c>
      <c r="D227" s="121" t="inlineStr">
        <is>
          <t>€</t>
        </is>
      </c>
      <c r="E227" s="23" t="inlineStr">
        <is>
          <t>€</t>
        </is>
      </c>
      <c r="F227" s="122" t="inlineStr">
        <is>
          <t>€</t>
        </is>
      </c>
      <c r="G227" s="23" t="inlineStr">
        <is>
          <t>€</t>
        </is>
      </c>
      <c r="H227" s="67" t="inlineStr">
        <is>
          <t>€</t>
        </is>
      </c>
      <c r="I227" s="67" t="inlineStr">
        <is>
          <t>€</t>
        </is>
      </c>
    </row>
    <row r="228">
      <c r="A228" s="68" t="inlineStr">
        <is>
          <t>App. 01</t>
        </is>
      </c>
      <c r="B228" s="123" t="n"/>
      <c r="C228" s="124" t="n"/>
      <c r="D228" s="123" t="n"/>
      <c r="E228" s="84" t="n"/>
      <c r="F228" s="125" t="n"/>
      <c r="G228" s="84" t="n"/>
      <c r="H228" s="124" t="n"/>
      <c r="I228" s="124">
        <f>SUM(B228:H228)</f>
        <v/>
      </c>
    </row>
    <row r="229">
      <c r="A229" s="200">
        <f>Inquilini!B2</f>
        <v/>
      </c>
      <c r="B229" s="126">
        <f>+F130</f>
        <v/>
      </c>
      <c r="C229" s="127">
        <f>+D158</f>
        <v/>
      </c>
      <c r="D229" s="126">
        <f>+E78</f>
        <v/>
      </c>
      <c r="E229" s="86">
        <f>+D103</f>
        <v/>
      </c>
      <c r="F229" s="128">
        <f>+F182</f>
        <v/>
      </c>
      <c r="G229" s="86">
        <f>+C205</f>
        <v/>
      </c>
      <c r="H229" s="127">
        <f>+E205</f>
        <v/>
      </c>
      <c r="I229" s="127">
        <f>SUM(B229:H229)</f>
        <v/>
      </c>
    </row>
    <row r="230">
      <c r="A230" s="68" t="inlineStr">
        <is>
          <t>App. 02</t>
        </is>
      </c>
      <c r="B230" s="123" t="n"/>
      <c r="C230" s="124" t="n"/>
      <c r="D230" s="123" t="n"/>
      <c r="E230" s="84" t="n"/>
      <c r="F230" s="125" t="n"/>
      <c r="G230" s="84" t="n"/>
      <c r="H230" s="124" t="n"/>
      <c r="I230" s="124">
        <f>SUM(B230:H230)</f>
        <v/>
      </c>
    </row>
    <row r="231">
      <c r="A231" s="200">
        <f>Inquilini!B3</f>
        <v/>
      </c>
      <c r="B231" s="126">
        <f>+F132</f>
        <v/>
      </c>
      <c r="C231" s="127">
        <f>+D160</f>
        <v/>
      </c>
      <c r="D231" s="126">
        <f>+E80</f>
        <v/>
      </c>
      <c r="E231" s="86">
        <f>+D105</f>
        <v/>
      </c>
      <c r="F231" s="128">
        <f>+F184</f>
        <v/>
      </c>
      <c r="G231" s="86">
        <f>+C207</f>
        <v/>
      </c>
      <c r="H231" s="127">
        <f>+E207</f>
        <v/>
      </c>
      <c r="I231" s="127">
        <f>SUM(B231:H231)</f>
        <v/>
      </c>
    </row>
    <row r="232">
      <c r="A232" s="68" t="inlineStr">
        <is>
          <t>App. 03</t>
        </is>
      </c>
      <c r="B232" s="123" t="n"/>
      <c r="C232" s="124" t="n"/>
      <c r="D232" s="123" t="n"/>
      <c r="E232" s="84" t="n"/>
      <c r="F232" s="125" t="n"/>
      <c r="G232" s="84" t="n"/>
      <c r="H232" s="124" t="n"/>
      <c r="I232" s="124">
        <f>SUM(B232:H232)</f>
        <v/>
      </c>
    </row>
    <row r="233">
      <c r="A233" s="200">
        <f>Inquilini!B4</f>
        <v/>
      </c>
      <c r="B233" s="126">
        <f>+F134</f>
        <v/>
      </c>
      <c r="C233" s="127">
        <f>+D162</f>
        <v/>
      </c>
      <c r="D233" s="126">
        <f>+E82</f>
        <v/>
      </c>
      <c r="E233" s="86">
        <f>+D107</f>
        <v/>
      </c>
      <c r="F233" s="128">
        <f>+F186</f>
        <v/>
      </c>
      <c r="G233" s="86">
        <f>+C209</f>
        <v/>
      </c>
      <c r="H233" s="127">
        <f>+E209</f>
        <v/>
      </c>
      <c r="I233" s="127">
        <f>SUM(B233:H233)</f>
        <v/>
      </c>
    </row>
    <row r="234">
      <c r="A234" s="68" t="inlineStr">
        <is>
          <t>App. 04</t>
        </is>
      </c>
      <c r="B234" s="123" t="n"/>
      <c r="C234" s="124" t="n"/>
      <c r="D234" s="123" t="n"/>
      <c r="E234" s="84" t="n"/>
      <c r="F234" s="125" t="n"/>
      <c r="G234" s="84" t="n"/>
      <c r="H234" s="124" t="n"/>
      <c r="I234" s="124">
        <f>SUM(B234:H234)</f>
        <v/>
      </c>
    </row>
    <row r="235">
      <c r="A235" s="200">
        <f>Inquilini!B5</f>
        <v/>
      </c>
      <c r="B235" s="126">
        <f>+F136</f>
        <v/>
      </c>
      <c r="C235" s="127">
        <f>+D164</f>
        <v/>
      </c>
      <c r="D235" s="126">
        <f>+E84</f>
        <v/>
      </c>
      <c r="E235" s="86">
        <f>+D109</f>
        <v/>
      </c>
      <c r="F235" s="128">
        <f>+F188</f>
        <v/>
      </c>
      <c r="G235" s="86">
        <f>+C211</f>
        <v/>
      </c>
      <c r="H235" s="127">
        <f>+E211</f>
        <v/>
      </c>
      <c r="I235" s="127">
        <f>SUM(B235:H235)</f>
        <v/>
      </c>
    </row>
    <row r="236">
      <c r="A236" s="192" t="inlineStr">
        <is>
          <t>App. 05</t>
        </is>
      </c>
      <c r="B236" s="123" t="n"/>
      <c r="C236" s="124" t="n"/>
      <c r="D236" s="123" t="n"/>
      <c r="E236" s="84" t="n"/>
      <c r="F236" s="125" t="n"/>
      <c r="G236" s="84" t="n"/>
      <c r="H236" s="124" t="n"/>
      <c r="I236" s="124">
        <f>SUM(B236:H236)</f>
        <v/>
      </c>
    </row>
    <row r="237">
      <c r="A237" s="200">
        <f>Inquilini!B6</f>
        <v/>
      </c>
      <c r="B237" s="126">
        <f>+F138</f>
        <v/>
      </c>
      <c r="C237" s="127">
        <f>+D166</f>
        <v/>
      </c>
      <c r="D237" s="126">
        <f>+E86</f>
        <v/>
      </c>
      <c r="E237" s="86">
        <f>+D111</f>
        <v/>
      </c>
      <c r="F237" s="128">
        <f>+F190</f>
        <v/>
      </c>
      <c r="G237" s="86">
        <f>+C213</f>
        <v/>
      </c>
      <c r="H237" s="127">
        <f>+E213</f>
        <v/>
      </c>
      <c r="I237" s="127">
        <f>SUM(B237:H237)</f>
        <v/>
      </c>
    </row>
    <row r="238">
      <c r="A238" s="68" t="inlineStr">
        <is>
          <t>App. 06</t>
        </is>
      </c>
      <c r="B238" s="123" t="n"/>
      <c r="C238" s="124" t="n"/>
      <c r="D238" s="123" t="n"/>
      <c r="E238" s="84" t="n"/>
      <c r="F238" s="125" t="n"/>
      <c r="G238" s="84" t="n"/>
      <c r="H238" s="124" t="n"/>
      <c r="I238" s="124">
        <f>SUM(B238:H238)</f>
        <v/>
      </c>
    </row>
    <row r="239">
      <c r="A239" s="200">
        <f>Inquilini!B7</f>
        <v/>
      </c>
      <c r="B239" s="126">
        <f>+F140</f>
        <v/>
      </c>
      <c r="C239" s="127">
        <f>+D168</f>
        <v/>
      </c>
      <c r="D239" s="126">
        <f>+E88</f>
        <v/>
      </c>
      <c r="E239" s="86">
        <f>+D113</f>
        <v/>
      </c>
      <c r="F239" s="128">
        <f>+F192</f>
        <v/>
      </c>
      <c r="G239" s="86">
        <f>+C215</f>
        <v/>
      </c>
      <c r="H239" s="127">
        <f>+E215</f>
        <v/>
      </c>
      <c r="I239" s="127">
        <f>SUM(B239:H239)</f>
        <v/>
      </c>
    </row>
    <row r="240">
      <c r="A240" s="68" t="inlineStr">
        <is>
          <t>App. 07</t>
        </is>
      </c>
      <c r="B240" s="123" t="n"/>
      <c r="C240" s="124" t="n"/>
      <c r="D240" s="123" t="n"/>
      <c r="E240" s="84" t="n"/>
      <c r="F240" s="125" t="n"/>
      <c r="G240" s="84" t="n"/>
      <c r="H240" s="124" t="n"/>
      <c r="I240" s="124">
        <f>SUM(B240:H240)</f>
        <v/>
      </c>
    </row>
    <row r="241">
      <c r="A241" s="200">
        <f>Inquilini!B8</f>
        <v/>
      </c>
      <c r="B241" s="126">
        <f>+F142</f>
        <v/>
      </c>
      <c r="C241" s="127">
        <f>+D170</f>
        <v/>
      </c>
      <c r="D241" s="126">
        <f>+E90</f>
        <v/>
      </c>
      <c r="E241" s="86">
        <f>+D115</f>
        <v/>
      </c>
      <c r="F241" s="128">
        <f>+F194</f>
        <v/>
      </c>
      <c r="G241" s="86">
        <f>+C217</f>
        <v/>
      </c>
      <c r="H241" s="127">
        <f>+E217</f>
        <v/>
      </c>
      <c r="I241" s="127">
        <f>SUM(B241:H241)</f>
        <v/>
      </c>
    </row>
    <row r="242">
      <c r="A242" s="68" t="inlineStr">
        <is>
          <t>App. 08</t>
        </is>
      </c>
      <c r="B242" s="123" t="n"/>
      <c r="C242" s="124" t="n"/>
      <c r="D242" s="123" t="n"/>
      <c r="E242" s="84" t="n"/>
      <c r="F242" s="125" t="n"/>
      <c r="G242" s="84" t="n"/>
      <c r="H242" s="124" t="n"/>
      <c r="I242" s="124">
        <f>SUM(B242:H242)</f>
        <v/>
      </c>
      <c r="K242" s="56" t="n"/>
    </row>
    <row r="243">
      <c r="A243" s="200">
        <f>Inquilini!B9</f>
        <v/>
      </c>
      <c r="B243" s="126">
        <f>+F144</f>
        <v/>
      </c>
      <c r="C243" s="127">
        <f>+D172</f>
        <v/>
      </c>
      <c r="D243" s="126">
        <f>+E92</f>
        <v/>
      </c>
      <c r="E243" s="86">
        <f>+D117</f>
        <v/>
      </c>
      <c r="F243" s="128">
        <f>+F196</f>
        <v/>
      </c>
      <c r="G243" s="86">
        <f>+C219</f>
        <v/>
      </c>
      <c r="H243" s="127">
        <f>+E219</f>
        <v/>
      </c>
      <c r="I243" s="127">
        <f>SUM(B243:H243)</f>
        <v/>
      </c>
      <c r="K243" s="56" t="n"/>
    </row>
    <row r="244">
      <c r="A244" s="68" t="inlineStr">
        <is>
          <t>App. 09</t>
        </is>
      </c>
      <c r="B244" s="123" t="n"/>
      <c r="C244" s="124" t="n"/>
      <c r="D244" s="123" t="n"/>
      <c r="E244" s="84" t="n"/>
      <c r="F244" s="125" t="n"/>
      <c r="G244" s="84" t="n"/>
      <c r="H244" s="124" t="n"/>
      <c r="I244" s="124">
        <f>SUM(B244:H244)</f>
        <v/>
      </c>
      <c r="K244" s="56" t="n"/>
    </row>
    <row r="245">
      <c r="A245" s="200">
        <f>Inquilini!B10</f>
        <v/>
      </c>
      <c r="B245" s="126">
        <f>+F146</f>
        <v/>
      </c>
      <c r="C245" s="127">
        <f>+D174</f>
        <v/>
      </c>
      <c r="D245" s="126">
        <f>+E94</f>
        <v/>
      </c>
      <c r="E245" s="86">
        <f>+D119</f>
        <v/>
      </c>
      <c r="F245" s="128">
        <f>+F198</f>
        <v/>
      </c>
      <c r="G245" s="86">
        <f>+C221</f>
        <v/>
      </c>
      <c r="H245" s="127">
        <f>+E221</f>
        <v/>
      </c>
      <c r="I245" s="127">
        <f>SUM(B245:H245)</f>
        <v/>
      </c>
      <c r="K245" s="56" t="n"/>
    </row>
    <row r="246" ht="13.8" customHeight="1" thickBot="1">
      <c r="A246" s="25" t="inlineStr">
        <is>
          <t>App. 10</t>
        </is>
      </c>
      <c r="B246" s="129">
        <f>+F147</f>
        <v/>
      </c>
      <c r="C246" s="130">
        <f>+D175</f>
        <v/>
      </c>
      <c r="D246" s="129">
        <f>+E95</f>
        <v/>
      </c>
      <c r="E246" s="88">
        <f>+D120</f>
        <v/>
      </c>
      <c r="F246" s="131">
        <f>+F199</f>
        <v/>
      </c>
      <c r="G246" s="88">
        <f>+C222</f>
        <v/>
      </c>
      <c r="H246" s="130">
        <f>+E222</f>
        <v/>
      </c>
      <c r="I246" s="130">
        <f>SUM(B246:H246)</f>
        <v/>
      </c>
      <c r="K246" s="56" t="n"/>
      <c r="L246" s="56" t="n"/>
    </row>
    <row r="247" ht="13.8" customHeight="1" thickBot="1">
      <c r="A247" s="89" t="inlineStr">
        <is>
          <t>Totale</t>
        </is>
      </c>
      <c r="B247" s="132">
        <f>SUM(B228:B246)</f>
        <v/>
      </c>
      <c r="C247" s="132">
        <f>SUM(C228:C246)</f>
        <v/>
      </c>
      <c r="D247" s="132">
        <f>SUM(D228:D246)</f>
        <v/>
      </c>
      <c r="E247" s="132">
        <f>SUM(E228:E246)</f>
        <v/>
      </c>
      <c r="F247" s="132">
        <f>SUM(F228:F246)</f>
        <v/>
      </c>
      <c r="G247" s="132">
        <f>SUM(G228:G246)</f>
        <v/>
      </c>
      <c r="H247" s="132">
        <f>SUM(H228:H246)</f>
        <v/>
      </c>
      <c r="I247" s="133">
        <f>SUM(I228:I246)</f>
        <v/>
      </c>
    </row>
    <row r="248" ht="13.8" customHeight="1" thickBot="1">
      <c r="B248" s="352">
        <f>SUM(B247:C247)</f>
        <v/>
      </c>
      <c r="C248" s="353" t="n"/>
      <c r="D248" s="352">
        <f>SUM(D247:E247)</f>
        <v/>
      </c>
      <c r="E248" s="353" t="n"/>
      <c r="F248" s="134">
        <f>SUM(F247)</f>
        <v/>
      </c>
      <c r="G248" s="134">
        <f>SUM(G247:H247)</f>
        <v/>
      </c>
      <c r="H248" s="353" t="n"/>
      <c r="K248" s="56">
        <f>SUM(B248:J248)</f>
        <v/>
      </c>
    </row>
    <row r="250">
      <c r="A250" s="18" t="n"/>
      <c r="C250" s="189">
        <f>SUM(B248:E248)</f>
        <v/>
      </c>
      <c r="E250" s="136" t="inlineStr">
        <is>
          <t>Somma dei costi da ripartire</t>
        </is>
      </c>
      <c r="F250" s="136" t="n"/>
      <c r="G250" s="136" t="n"/>
      <c r="H250" s="354" t="n"/>
      <c r="K250" s="233">
        <f>SUM(K248:K249)</f>
        <v/>
      </c>
      <c r="L250" s="193">
        <f>IF(K250=Tabella_2026!E9,"esatto","errore")</f>
        <v/>
      </c>
    </row>
    <row r="251" ht="13.8" customHeight="1" thickBot="1"/>
    <row r="252">
      <c r="A252" s="243" t="n"/>
      <c r="B252" s="38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39" t="n"/>
    </row>
    <row r="253">
      <c r="A253" s="244" t="inlineStr">
        <is>
          <t>Copia tabella sopra per imputazione consumi involontari</t>
        </is>
      </c>
      <c r="C253" s="245" t="inlineStr">
        <is>
          <t>per queste celle IN PROPORZIONE AI CONSUMI VOLONTARI</t>
        </is>
      </c>
      <c r="D253" s="246" t="n"/>
      <c r="E253" s="246" t="n"/>
      <c r="F253" s="246" t="n"/>
      <c r="G253" s="246" t="n"/>
      <c r="P253" s="80" t="n"/>
    </row>
    <row r="254" ht="13.8" customHeight="1" thickBot="1">
      <c r="A254" s="28" t="n"/>
      <c r="P254" s="80" t="n"/>
    </row>
    <row r="255">
      <c r="A255" s="54" t="inlineStr">
        <is>
          <t>Ripartizione totale energetica + gestione</t>
        </is>
      </c>
      <c r="B255" s="345" t="inlineStr">
        <is>
          <t>Acqua Calda Sanitaria</t>
        </is>
      </c>
      <c r="C255" s="346" t="n"/>
      <c r="D255" s="347" t="inlineStr">
        <is>
          <t>Riscaldamento.</t>
        </is>
      </c>
      <c r="E255" s="346" t="n"/>
      <c r="F255" s="348" t="inlineStr">
        <is>
          <t>Acqua Sanitaria</t>
        </is>
      </c>
      <c r="G255" s="349" t="inlineStr">
        <is>
          <t>Gest.ne: manut.sale.lett</t>
        </is>
      </c>
      <c r="H255" s="346" t="n"/>
      <c r="I255" s="350" t="inlineStr">
        <is>
          <t>TOTALE</t>
        </is>
      </c>
      <c r="M255" s="264" t="inlineStr">
        <is>
          <t>Gestione in base ai gg.</t>
        </is>
      </c>
      <c r="N255" s="265" t="n"/>
      <c r="P255" s="80" t="n"/>
    </row>
    <row r="256" ht="13.8" customHeight="1" thickBot="1">
      <c r="A256" s="40" t="n"/>
      <c r="B256" s="119" t="inlineStr">
        <is>
          <t>vol.</t>
        </is>
      </c>
      <c r="C256" s="120" t="inlineStr">
        <is>
          <t>inv.</t>
        </is>
      </c>
      <c r="D256" s="119" t="inlineStr">
        <is>
          <t>vol.</t>
        </is>
      </c>
      <c r="E256" s="120" t="inlineStr">
        <is>
          <t>inv.</t>
        </is>
      </c>
      <c r="F256" s="351" t="n"/>
      <c r="G256" s="119" t="inlineStr">
        <is>
          <t>risc.</t>
        </is>
      </c>
      <c r="H256" s="120" t="inlineStr">
        <is>
          <t>a.c.s.</t>
        </is>
      </c>
      <c r="I256" s="351" t="n"/>
      <c r="M256" s="135" t="inlineStr">
        <is>
          <t>gg. Prop</t>
        </is>
      </c>
      <c r="N256" s="238" t="inlineStr">
        <is>
          <t>gg inq</t>
        </is>
      </c>
      <c r="P256" s="80" t="n"/>
    </row>
    <row r="257">
      <c r="A257" s="25" t="n"/>
      <c r="B257" s="121" t="inlineStr">
        <is>
          <t>€</t>
        </is>
      </c>
      <c r="C257" s="67" t="inlineStr">
        <is>
          <t>€</t>
        </is>
      </c>
      <c r="D257" s="121" t="inlineStr">
        <is>
          <t>€</t>
        </is>
      </c>
      <c r="E257" s="23" t="inlineStr">
        <is>
          <t>€</t>
        </is>
      </c>
      <c r="F257" s="122" t="inlineStr">
        <is>
          <t>€</t>
        </is>
      </c>
      <c r="G257" s="23" t="inlineStr">
        <is>
          <t>€</t>
        </is>
      </c>
      <c r="H257" s="67" t="inlineStr">
        <is>
          <t>€</t>
        </is>
      </c>
      <c r="I257" s="67" t="inlineStr">
        <is>
          <t>€</t>
        </is>
      </c>
      <c r="N257" s="4" t="n">
        <v>365</v>
      </c>
      <c r="P257" s="80" t="n"/>
    </row>
    <row r="258">
      <c r="A258" s="68" t="inlineStr">
        <is>
          <t>App. 01</t>
        </is>
      </c>
      <c r="B258" s="123" t="n"/>
      <c r="C258" s="124" t="n"/>
      <c r="D258" s="123" t="n"/>
      <c r="E258" s="84" t="n"/>
      <c r="F258" s="125" t="n"/>
      <c r="G258" s="84" t="n"/>
      <c r="H258" s="124" t="n"/>
      <c r="I258" s="124">
        <f>SUM(B258:H258)</f>
        <v/>
      </c>
      <c r="P258" s="80" t="n"/>
    </row>
    <row r="259">
      <c r="A259" s="200">
        <f>Inquilini!B2</f>
        <v/>
      </c>
      <c r="B259" s="126" t="n"/>
      <c r="C259" s="127" t="n"/>
      <c r="D259" s="126" t="n"/>
      <c r="E259" s="86" t="n"/>
      <c r="F259" s="128" t="n"/>
      <c r="G259" s="86" t="n"/>
      <c r="H259" s="127" t="n"/>
      <c r="I259" s="127">
        <f>SUM(B259:H259)</f>
        <v/>
      </c>
      <c r="K259" s="56" t="n"/>
      <c r="P259" s="80" t="n"/>
    </row>
    <row r="260">
      <c r="A260" s="68" t="inlineStr">
        <is>
          <t>App. 02</t>
        </is>
      </c>
      <c r="B260" s="123" t="n"/>
      <c r="C260" s="124" t="n"/>
      <c r="D260" s="123" t="n"/>
      <c r="E260" s="84" t="n"/>
      <c r="F260" s="125" t="n"/>
      <c r="G260" s="84" t="n"/>
      <c r="H260" s="124" t="n"/>
      <c r="I260" s="124">
        <f>SUM(B260:H260)</f>
        <v/>
      </c>
      <c r="K260" s="56" t="n"/>
      <c r="P260" s="80" t="n"/>
    </row>
    <row r="261" ht="14.4" customHeight="1">
      <c r="A261" s="200">
        <f>Inquilini!B3</f>
        <v/>
      </c>
      <c r="B261" s="126" t="n"/>
      <c r="C261" s="127" t="n"/>
      <c r="D261" s="126" t="n"/>
      <c r="E261" s="86" t="n"/>
      <c r="F261" s="128" t="n"/>
      <c r="G261" s="86" t="n"/>
      <c r="H261" s="127" t="n"/>
      <c r="I261" s="127">
        <f>SUM(B261:H261)</f>
        <v/>
      </c>
      <c r="K261" s="263" t="inlineStr">
        <is>
          <t>Affitto 15/04/25</t>
        </is>
      </c>
      <c r="M261" s="261">
        <f>365-N261</f>
        <v/>
      </c>
      <c r="N261" s="262" t="n">
        <v>260</v>
      </c>
      <c r="O261" s="4" t="inlineStr">
        <is>
          <t>%  gg. di presenza inq</t>
        </is>
      </c>
      <c r="P261" s="80" t="n"/>
    </row>
    <row r="262">
      <c r="A262" s="68" t="inlineStr">
        <is>
          <t>App. 03</t>
        </is>
      </c>
      <c r="B262" s="123" t="n"/>
      <c r="C262" s="124" t="n"/>
      <c r="D262" s="123" t="n"/>
      <c r="E262" s="84" t="n"/>
      <c r="F262" s="125" t="n"/>
      <c r="G262" s="84" t="n"/>
      <c r="H262" s="124" t="n"/>
      <c r="I262" s="124">
        <f>SUM(B262:H262)</f>
        <v/>
      </c>
      <c r="K262" s="56" t="n"/>
      <c r="N262" s="237" t="n"/>
      <c r="P262" s="80" t="n"/>
    </row>
    <row r="263">
      <c r="A263" s="200">
        <f>Inquilini!B4</f>
        <v/>
      </c>
      <c r="B263" s="126" t="n"/>
      <c r="C263" s="127" t="n"/>
      <c r="D263" s="126" t="n"/>
      <c r="E263" s="86" t="n"/>
      <c r="F263" s="128" t="n"/>
      <c r="G263" s="86" t="n"/>
      <c r="H263" s="127" t="n"/>
      <c r="I263" s="127">
        <f>SUM(B263:H263)</f>
        <v/>
      </c>
      <c r="K263" s="56" t="n"/>
      <c r="N263" s="237" t="n"/>
      <c r="P263" s="80" t="n"/>
    </row>
    <row r="264">
      <c r="A264" s="68" t="inlineStr">
        <is>
          <t>App. 04</t>
        </is>
      </c>
      <c r="B264" s="123" t="n"/>
      <c r="C264" s="124" t="n"/>
      <c r="D264" s="123" t="n"/>
      <c r="E264" s="84" t="n"/>
      <c r="F264" s="125" t="n"/>
      <c r="G264" s="84" t="n"/>
      <c r="H264" s="124" t="n"/>
      <c r="I264" s="124">
        <f>SUM(B264:H264)</f>
        <v/>
      </c>
      <c r="K264" s="56" t="n"/>
      <c r="N264" s="237" t="n"/>
      <c r="P264" s="80" t="n"/>
    </row>
    <row r="265" ht="14.4" customHeight="1">
      <c r="A265" s="200">
        <f>Inquilini!B5</f>
        <v/>
      </c>
      <c r="B265" s="126" t="n"/>
      <c r="C265" s="127" t="n"/>
      <c r="D265" s="126" t="n"/>
      <c r="E265" s="86" t="n"/>
      <c r="F265" s="128" t="n"/>
      <c r="G265" s="86" t="n"/>
      <c r="H265" s="127" t="n"/>
      <c r="I265" s="127">
        <f>SUM(B265:H265)</f>
        <v/>
      </c>
      <c r="K265" s="263" t="inlineStr">
        <is>
          <t>Affitto 01/03/25</t>
        </is>
      </c>
      <c r="M265" s="261">
        <f>365-N265</f>
        <v/>
      </c>
      <c r="N265" s="262" t="n">
        <v>305</v>
      </c>
      <c r="O265" s="4" t="inlineStr">
        <is>
          <t>% ai gg. di presenza</t>
        </is>
      </c>
      <c r="P265" s="80" t="n"/>
    </row>
    <row r="266">
      <c r="A266" s="192" t="inlineStr">
        <is>
          <t>App. 05</t>
        </is>
      </c>
      <c r="B266" s="123" t="n"/>
      <c r="C266" s="124" t="n"/>
      <c r="D266" s="123" t="n"/>
      <c r="E266" s="84" t="n"/>
      <c r="F266" s="125" t="n"/>
      <c r="G266" s="84" t="n"/>
      <c r="H266" s="124" t="n"/>
      <c r="I266" s="124">
        <f>SUM(B266:H266)</f>
        <v/>
      </c>
      <c r="J266" s="21" t="inlineStr">
        <is>
          <t>rettifica</t>
        </is>
      </c>
      <c r="K266" s="56" t="n"/>
      <c r="N266" s="237" t="n"/>
      <c r="P266" s="80" t="n"/>
    </row>
    <row r="267" ht="14.4" customHeight="1">
      <c r="A267" s="200">
        <f>Inquilini!B6</f>
        <v/>
      </c>
      <c r="B267" s="126" t="n"/>
      <c r="C267" s="127" t="n"/>
      <c r="D267" s="126" t="n"/>
      <c r="E267" s="86" t="n"/>
      <c r="F267" s="128" t="n"/>
      <c r="G267" s="86" t="n"/>
      <c r="H267" s="127" t="n"/>
      <c r="I267" s="127">
        <f>SUM(B267:H267)</f>
        <v/>
      </c>
      <c r="J267" s="21" t="inlineStr">
        <is>
          <t>rettifica</t>
        </is>
      </c>
      <c r="K267" s="263" t="inlineStr">
        <is>
          <t>Affitto 01/05/25</t>
        </is>
      </c>
      <c r="M267" s="261">
        <f>365-N267</f>
        <v/>
      </c>
      <c r="N267" s="262" t="n">
        <v>244</v>
      </c>
      <c r="O267" s="4" t="inlineStr">
        <is>
          <t>% ai gg. di presenza</t>
        </is>
      </c>
      <c r="P267" s="80" t="n"/>
    </row>
    <row r="268">
      <c r="A268" s="68" t="inlineStr">
        <is>
          <t>App. 06</t>
        </is>
      </c>
      <c r="B268" s="123" t="n"/>
      <c r="C268" s="124" t="n"/>
      <c r="D268" s="123" t="n"/>
      <c r="E268" s="84" t="n"/>
      <c r="F268" s="125" t="n"/>
      <c r="G268" s="84" t="n"/>
      <c r="H268" s="124" t="n"/>
      <c r="I268" s="124">
        <f>SUM(B268:H268)</f>
        <v/>
      </c>
      <c r="K268" s="56" t="n"/>
      <c r="N268" s="237" t="n"/>
      <c r="P268" s="80" t="n"/>
    </row>
    <row r="269">
      <c r="A269" s="200">
        <f>Inquilini!B7</f>
        <v/>
      </c>
      <c r="B269" s="126" t="n"/>
      <c r="C269" s="127" t="n"/>
      <c r="D269" s="126" t="n"/>
      <c r="E269" s="86" t="n"/>
      <c r="F269" s="128" t="n"/>
      <c r="G269" s="86" t="n"/>
      <c r="H269" s="127" t="n"/>
      <c r="I269" s="127">
        <f>SUM(B269:H269)</f>
        <v/>
      </c>
      <c r="K269" s="56" t="n"/>
      <c r="N269" s="237" t="n"/>
      <c r="P269" s="80" t="n"/>
    </row>
    <row r="270">
      <c r="A270" s="68" t="inlineStr">
        <is>
          <t>App. 07</t>
        </is>
      </c>
      <c r="B270" s="123" t="n"/>
      <c r="C270" s="124" t="n"/>
      <c r="D270" s="123" t="n"/>
      <c r="E270" s="84" t="n"/>
      <c r="F270" s="125" t="n"/>
      <c r="G270" s="84" t="n"/>
      <c r="H270" s="124" t="n"/>
      <c r="I270" s="124">
        <f>SUM(B270:H270)</f>
        <v/>
      </c>
      <c r="K270" s="56" t="n"/>
      <c r="N270" s="237" t="n"/>
      <c r="P270" s="80" t="n"/>
    </row>
    <row r="271" ht="14.4" customHeight="1">
      <c r="A271" s="200">
        <f>Inquilini!B8</f>
        <v/>
      </c>
      <c r="B271" s="126" t="n"/>
      <c r="C271" s="127" t="n"/>
      <c r="D271" s="126" t="n"/>
      <c r="E271" s="86" t="n"/>
      <c r="F271" s="128" t="n"/>
      <c r="G271" s="86" t="n"/>
      <c r="H271" s="127" t="n"/>
      <c r="I271" s="127">
        <f>SUM(B271:H271)</f>
        <v/>
      </c>
      <c r="K271" s="263" t="inlineStr">
        <is>
          <t>Affitto 01/03/25</t>
        </is>
      </c>
      <c r="M271" s="261">
        <f>365-N271</f>
        <v/>
      </c>
      <c r="N271" s="262" t="n">
        <v>305</v>
      </c>
      <c r="O271" s="4" t="inlineStr">
        <is>
          <t>% ai gg. di presenza</t>
        </is>
      </c>
      <c r="P271" s="80" t="n"/>
    </row>
    <row r="272">
      <c r="A272" s="68" t="inlineStr">
        <is>
          <t>App. 08</t>
        </is>
      </c>
      <c r="B272" s="123" t="n"/>
      <c r="C272" s="124" t="n"/>
      <c r="D272" s="123" t="n"/>
      <c r="E272" s="84" t="n"/>
      <c r="F272" s="125" t="n"/>
      <c r="G272" s="84" t="n"/>
      <c r="H272" s="124" t="n"/>
      <c r="I272" s="124">
        <f>SUM(B272:H272)</f>
        <v/>
      </c>
      <c r="K272" s="56" t="n"/>
      <c r="P272" s="80" t="n"/>
    </row>
    <row r="273" ht="14.4" customHeight="1">
      <c r="A273" s="200">
        <f>Inquilini!B9</f>
        <v/>
      </c>
      <c r="B273" s="126" t="n"/>
      <c r="C273" s="127" t="n"/>
      <c r="D273" s="126" t="n"/>
      <c r="E273" s="86" t="n"/>
      <c r="F273" s="128" t="n"/>
      <c r="G273" s="86" t="n"/>
      <c r="H273" s="127" t="n"/>
      <c r="I273" s="127">
        <f>SUM(B273:H273)</f>
        <v/>
      </c>
      <c r="K273" s="260" t="inlineStr">
        <is>
          <t>Fitto CH 05/11/25</t>
        </is>
      </c>
      <c r="M273" s="261">
        <f>365-N273</f>
        <v/>
      </c>
      <c r="N273" s="262" t="n">
        <v>308</v>
      </c>
      <c r="P273" s="80" t="n"/>
    </row>
    <row r="274">
      <c r="A274" s="68" t="inlineStr">
        <is>
          <t>App. 09</t>
        </is>
      </c>
      <c r="B274" s="123" t="n"/>
      <c r="C274" s="124" t="n"/>
      <c r="D274" s="123" t="n"/>
      <c r="E274" s="84" t="n"/>
      <c r="F274" s="125" t="n"/>
      <c r="G274" s="84" t="n"/>
      <c r="H274" s="124" t="n"/>
      <c r="I274" s="124">
        <f>SUM(B274:H274)</f>
        <v/>
      </c>
      <c r="K274" s="56" t="n"/>
      <c r="P274" s="80" t="n"/>
    </row>
    <row r="275">
      <c r="A275" s="200">
        <f>Inquilini!B10</f>
        <v/>
      </c>
      <c r="B275" s="126" t="n"/>
      <c r="C275" s="127" t="n"/>
      <c r="D275" s="126" t="n"/>
      <c r="E275" s="86" t="n"/>
      <c r="F275" s="128" t="n"/>
      <c r="G275" s="86" t="n"/>
      <c r="H275" s="127" t="n"/>
      <c r="I275" s="127">
        <f>SUM(B275:H275)</f>
        <v/>
      </c>
      <c r="K275" s="56" t="n"/>
      <c r="P275" s="80" t="n"/>
    </row>
    <row r="276" ht="13.8" customHeight="1" thickBot="1">
      <c r="A276" s="25" t="inlineStr">
        <is>
          <t>App. 10</t>
        </is>
      </c>
      <c r="B276" s="129" t="n"/>
      <c r="C276" s="130" t="n"/>
      <c r="D276" s="129" t="n"/>
      <c r="E276" s="88" t="n"/>
      <c r="F276" s="131" t="n"/>
      <c r="G276" s="88" t="n"/>
      <c r="H276" s="130" t="n"/>
      <c r="I276" s="130">
        <f>SUM(B276:H276)</f>
        <v/>
      </c>
      <c r="K276" s="56" t="n"/>
      <c r="L276" s="56" t="n"/>
      <c r="P276" s="80" t="n"/>
    </row>
    <row r="277" ht="13.8" customHeight="1" thickBot="1">
      <c r="A277" s="89" t="inlineStr">
        <is>
          <t>Totale</t>
        </is>
      </c>
      <c r="B277" s="132">
        <f>SUM(B258:B276)</f>
        <v/>
      </c>
      <c r="C277" s="132">
        <f>SUM(C258:C276)</f>
        <v/>
      </c>
      <c r="D277" s="132">
        <f>SUM(D258:D276)</f>
        <v/>
      </c>
      <c r="E277" s="132">
        <f>SUM(E258:E276)</f>
        <v/>
      </c>
      <c r="F277" s="132">
        <f>SUM(F258:F276)</f>
        <v/>
      </c>
      <c r="G277" s="132">
        <f>SUM(G258:G276)</f>
        <v/>
      </c>
      <c r="H277" s="132">
        <f>SUM(H258:H276)</f>
        <v/>
      </c>
      <c r="I277" s="133">
        <f>SUM(I258:I276)</f>
        <v/>
      </c>
      <c r="P277" s="80" t="n"/>
    </row>
    <row r="278" ht="13.8" customHeight="1" thickBot="1">
      <c r="A278" s="28" t="n"/>
      <c r="B278" s="352">
        <f>SUM(B277:C277)</f>
        <v/>
      </c>
      <c r="C278" s="353" t="n"/>
      <c r="D278" s="352">
        <f>SUM(D277:E277)</f>
        <v/>
      </c>
      <c r="E278" s="353" t="n"/>
      <c r="F278" s="134">
        <f>SUM(F277)</f>
        <v/>
      </c>
      <c r="G278" s="134">
        <f>SUM(G277:H277)</f>
        <v/>
      </c>
      <c r="H278" s="353" t="n"/>
      <c r="K278" s="56">
        <f>SUM(B278:J278)</f>
        <v/>
      </c>
      <c r="P278" s="80" t="n"/>
    </row>
    <row r="279">
      <c r="A279" s="28" t="n"/>
      <c r="P279" s="80" t="n"/>
    </row>
    <row r="280">
      <c r="A280" s="28" t="n"/>
      <c r="P280" s="80" t="n"/>
    </row>
    <row r="281">
      <c r="A281" s="28" t="n"/>
      <c r="P281" s="80" t="n"/>
    </row>
    <row r="282" ht="13.8" customHeight="1" thickBot="1">
      <c r="A282" s="247" t="inlineStr">
        <is>
          <t>con entrata inquilini in corso annualità necessita elaborare i consumi in base alle letture Termine/Inizio e gg. di permanenza ......</t>
        </is>
      </c>
      <c r="B282" s="248" t="n"/>
      <c r="C282" s="249" t="n"/>
      <c r="D282" s="249" t="n"/>
      <c r="E282" s="249" t="n"/>
      <c r="F282" s="249" t="n"/>
      <c r="G282" s="249" t="n"/>
      <c r="H282" s="249" t="n"/>
      <c r="I282" s="249" t="n"/>
      <c r="J282" s="249" t="n"/>
      <c r="K282" s="249" t="n"/>
      <c r="L282" s="249" t="n"/>
      <c r="M282" s="249" t="n"/>
      <c r="N282" s="249" t="n"/>
      <c r="O282" s="249" t="n"/>
      <c r="P282" s="250" t="n"/>
    </row>
    <row r="284">
      <c r="M284" s="235" t="n"/>
    </row>
    <row r="285">
      <c r="M285" s="235" t="n"/>
    </row>
  </sheetData>
  <mergeCells count="19">
    <mergeCell ref="F255:F256"/>
    <mergeCell ref="B202:C202"/>
    <mergeCell ref="G278:H278"/>
    <mergeCell ref="I225:I226"/>
    <mergeCell ref="B248:C248"/>
    <mergeCell ref="D248:E248"/>
    <mergeCell ref="B278:C278"/>
    <mergeCell ref="D278:E278"/>
    <mergeCell ref="B225:C225"/>
    <mergeCell ref="H250:I250"/>
    <mergeCell ref="D225:E225"/>
    <mergeCell ref="G248:H248"/>
    <mergeCell ref="D202:E202"/>
    <mergeCell ref="B255:C255"/>
    <mergeCell ref="G225:H225"/>
    <mergeCell ref="D255:E255"/>
    <mergeCell ref="I255:I256"/>
    <mergeCell ref="G255:H255"/>
    <mergeCell ref="F225:F226"/>
  </mergeCells>
  <pageMargins left="0.2362204724409449" right="0.2362204724409449" top="0.7480314960629921" bottom="0.7480314960629921" header="0.3149606299212598" footer="0.3149606299212598"/>
  <pageSetup orientation="portrait" paperSize="9" scale="65" fitToHeight="0"/>
  <headerFooter>
    <oddHeader>&amp;L&amp;A&amp;C&amp;F&amp;R&amp;D</oddHeader>
    <oddFooter>&amp;C&amp;"Calibri"&amp;12 &amp;K000000_x000d_# C2 – Confidenziale&amp;R&amp;P di &amp;N</oddFooter>
    <evenHeader/>
    <evenFooter/>
    <firstHeader/>
    <firstFooter/>
  </headerFooter>
  <rowBreaks count="3" manualBreakCount="3">
    <brk id="73" min="0" max="16383" man="1"/>
    <brk id="148" min="0" max="16383" man="1"/>
    <brk id="177" min="0" max="16383" man="1"/>
  </rowBreaks>
</worksheet>
</file>

<file path=xl/worksheets/sheet2.xml><?xml version="1.0" encoding="utf-8"?>
<worksheet xmlns="http://schemas.openxmlformats.org/spreadsheetml/2006/main">
  <sheetPr>
    <tabColor rgb="FFFF66CC"/>
    <outlinePr summaryBelow="1" summaryRight="1"/>
    <pageSetUpPr/>
  </sheetPr>
  <dimension ref="A2:H41"/>
  <sheetViews>
    <sheetView workbookViewId="0">
      <selection activeCell="D48" sqref="D48"/>
    </sheetView>
  </sheetViews>
  <sheetFormatPr baseColWidth="8" defaultColWidth="9.109375" defaultRowHeight="13.2"/>
  <cols>
    <col width="4.109375" customWidth="1" style="137" min="1" max="1"/>
    <col width="11.6640625" customWidth="1" style="137" min="2" max="2"/>
    <col width="10.109375" bestFit="1" customWidth="1" style="137" min="3" max="3"/>
    <col width="23.109375" customWidth="1" style="137" min="4" max="4"/>
    <col width="11.88671875" bestFit="1" customWidth="1" style="137" min="5" max="5"/>
    <col width="10.109375" bestFit="1" customWidth="1" style="137" min="6" max="6"/>
    <col width="11" bestFit="1" customWidth="1" style="137" min="7" max="7"/>
    <col width="11.109375" customWidth="1" style="137" min="8" max="8"/>
    <col width="9.109375" customWidth="1" style="137" min="9" max="9"/>
    <col width="9.6640625" bestFit="1" customWidth="1" style="137" min="10" max="10"/>
    <col width="9.109375" customWidth="1" style="137" min="11" max="16384"/>
  </cols>
  <sheetData>
    <row r="2" ht="15.6" customHeight="1">
      <c r="A2" s="145" t="n"/>
      <c r="B2" s="150" t="inlineStr">
        <is>
          <t>verifiche</t>
        </is>
      </c>
      <c r="C2" s="147" t="n"/>
      <c r="D2" s="147" t="n"/>
      <c r="E2" s="147" t="n"/>
      <c r="F2" s="241" t="inlineStr">
        <is>
          <t>Data</t>
        </is>
      </c>
    </row>
    <row r="3" ht="15.6" customHeight="1">
      <c r="A3" s="145" t="n"/>
      <c r="B3" s="150" t="inlineStr">
        <is>
          <t>Spesa enegia elettrica da dividere x termico</t>
        </is>
      </c>
      <c r="C3" s="147" t="n"/>
      <c r="D3" s="147" t="n"/>
      <c r="E3" s="355" t="n"/>
      <c r="F3" s="242" t="n"/>
    </row>
    <row r="4" ht="15.6" customHeight="1">
      <c r="A4" s="145" t="n"/>
      <c r="B4" s="150" t="inlineStr">
        <is>
          <t>Spesa GAS da dividere condominio</t>
        </is>
      </c>
      <c r="C4" s="147" t="n"/>
      <c r="D4" s="147" t="n"/>
      <c r="E4" s="356" t="n"/>
      <c r="F4" s="242" t="n"/>
      <c r="G4" s="357">
        <f>SUM(E3:E4)</f>
        <v/>
      </c>
    </row>
    <row r="5" ht="15.6" customHeight="1">
      <c r="A5" s="145" t="n"/>
      <c r="B5" s="358" t="inlineStr">
        <is>
          <t>Spesa ACQUA del condominio</t>
        </is>
      </c>
      <c r="C5" s="359" t="n"/>
      <c r="D5" s="359" t="n"/>
      <c r="E5" s="360" t="n"/>
      <c r="F5" s="242" t="n"/>
    </row>
    <row r="6" ht="15.6" customHeight="1">
      <c r="A6" s="145" t="n"/>
      <c r="B6" s="358" t="inlineStr">
        <is>
          <t>Spese di conduzione e manutenzione</t>
        </is>
      </c>
      <c r="C6" s="359" t="n"/>
      <c r="D6" s="359" t="n"/>
      <c r="E6" s="356" t="n"/>
      <c r="F6" s="241" t="n"/>
    </row>
    <row r="7" ht="15.6" customHeight="1">
      <c r="A7" s="145" t="n"/>
      <c r="B7" s="358" t="inlineStr">
        <is>
          <t>Spese di contabilizzazione</t>
        </is>
      </c>
      <c r="C7" s="359" t="n"/>
      <c r="D7" s="359" t="n"/>
      <c r="E7" s="356" t="n"/>
      <c r="F7" s="241" t="n"/>
    </row>
    <row r="8" ht="15.6" customHeight="1">
      <c r="A8" s="145" t="n"/>
      <c r="B8" s="358" t="inlineStr">
        <is>
          <t>Spese  ad acqua SANITARIA (Sali + manutenzione)</t>
        </is>
      </c>
      <c r="C8" s="359" t="n"/>
      <c r="D8" s="359" t="n"/>
      <c r="E8" s="356" t="n"/>
      <c r="F8" s="241" t="n"/>
    </row>
    <row r="9" ht="15.6" customHeight="1">
      <c r="A9" s="145" t="n"/>
      <c r="B9" s="150" t="n"/>
      <c r="C9" s="147" t="n"/>
      <c r="D9" s="147" t="n"/>
      <c r="E9" s="361">
        <f>SUM(E3:E8)</f>
        <v/>
      </c>
    </row>
    <row r="10" ht="15.6" customHeight="1">
      <c r="A10" s="145" t="n"/>
      <c r="B10" s="147" t="n"/>
      <c r="C10" s="147" t="n"/>
      <c r="D10" s="147" t="n"/>
      <c r="E10" s="147" t="n"/>
    </row>
    <row r="11" ht="15.6" customHeight="1">
      <c r="A11" s="145" t="n"/>
      <c r="B11" s="147" t="n"/>
      <c r="C11" s="147" t="n"/>
      <c r="D11" s="147" t="n"/>
      <c r="E11" s="147" t="n"/>
    </row>
    <row r="12" ht="15.6" customHeight="1">
      <c r="A12" s="145" t="n"/>
      <c r="B12" s="258" t="inlineStr">
        <is>
          <t>Costo medio energia elettrica €/kWh</t>
        </is>
      </c>
      <c r="C12" s="259" t="n"/>
      <c r="D12" s="259" t="n"/>
      <c r="E12" s="362">
        <f>E3/H20</f>
        <v/>
      </c>
    </row>
    <row r="13" ht="15.6" customHeight="1">
      <c r="A13" s="145" t="n"/>
      <c r="B13" s="363" t="inlineStr">
        <is>
          <t>Costo medio AFS €/mc</t>
        </is>
      </c>
      <c r="C13" s="364" t="n"/>
      <c r="D13" s="365" t="n"/>
      <c r="E13" s="359">
        <f>E5/('Ripartizione_Termo 02.03.2026'!D200+'Ripartizione_Termo 02.03.2026'!E200)</f>
        <v/>
      </c>
      <c r="G13" s="211" t="n"/>
    </row>
    <row r="14">
      <c r="B14" s="366" t="inlineStr">
        <is>
          <t>Costo medio gas metano €/mc</t>
        </is>
      </c>
      <c r="C14" s="364" t="n"/>
      <c r="D14" s="365" t="n"/>
      <c r="E14" s="359">
        <f>E4/H21</f>
        <v/>
      </c>
    </row>
    <row r="15">
      <c r="B15" s="147" t="n"/>
      <c r="C15" s="147" t="n"/>
      <c r="D15" s="147" t="n"/>
      <c r="E15" s="367" t="n"/>
    </row>
    <row r="16" ht="15.6" customHeight="1">
      <c r="A16" s="145" t="n"/>
    </row>
    <row r="17">
      <c r="B17" t="inlineStr">
        <is>
          <t>LETTURA CONTATORI PRINCIPALI</t>
        </is>
      </c>
      <c r="E17" s="316" t="inlineStr">
        <is>
          <t>DATA</t>
        </is>
      </c>
    </row>
    <row r="18">
      <c r="E18" s="144" t="n"/>
      <c r="F18" s="143" t="n"/>
      <c r="G18" s="269" t="inlineStr">
        <is>
          <t>??/??/????</t>
        </is>
      </c>
      <c r="H18" s="142" t="inlineStr">
        <is>
          <t>CONSUMO</t>
        </is>
      </c>
    </row>
    <row r="19">
      <c r="F19" s="141" t="n"/>
      <c r="G19" s="222" t="inlineStr">
        <is>
          <t>da fatture</t>
        </is>
      </c>
    </row>
    <row r="20">
      <c r="B20" s="318" t="inlineStr">
        <is>
          <t>ENERGIA ELETTRICA CT</t>
        </is>
      </c>
      <c r="C20" s="364" t="n"/>
      <c r="D20" s="365" t="n"/>
      <c r="E20" s="257" t="inlineStr">
        <is>
          <t>Kwh</t>
        </is>
      </c>
      <c r="F20" s="140" t="n"/>
      <c r="G20" s="223" t="n"/>
      <c r="H20" s="139">
        <f>G20-F20</f>
        <v/>
      </c>
    </row>
    <row r="21">
      <c r="B21" s="309" t="inlineStr">
        <is>
          <t>GAS METANO CT</t>
        </is>
      </c>
      <c r="C21" s="364" t="n"/>
      <c r="D21" s="365" t="n"/>
      <c r="E21" s="257" t="inlineStr">
        <is>
          <t>mc</t>
        </is>
      </c>
      <c r="F21" s="140" t="n"/>
      <c r="G21" s="223" t="n"/>
      <c r="H21" s="139">
        <f>G21-F21</f>
        <v/>
      </c>
    </row>
    <row r="22">
      <c r="B22" s="309" t="inlineStr">
        <is>
          <t>ACQUA GENERALE ACQUEDOTTO</t>
        </is>
      </c>
      <c r="C22" s="364" t="n"/>
      <c r="D22" s="365" t="n"/>
      <c r="E22" s="257" t="inlineStr">
        <is>
          <t>mc</t>
        </is>
      </c>
      <c r="F22" s="140" t="n"/>
      <c r="G22" s="223" t="n"/>
      <c r="H22" s="139">
        <f>G22-F22</f>
        <v/>
      </c>
    </row>
    <row r="23">
      <c r="F23" s="138" t="n"/>
      <c r="G23" s="138" t="n"/>
    </row>
    <row r="24">
      <c r="F24" s="138" t="n"/>
      <c r="G24" s="138" t="n"/>
    </row>
    <row r="25">
      <c r="F25" s="138" t="n"/>
      <c r="G25" s="138" t="n"/>
    </row>
    <row r="26">
      <c r="F26" s="138" t="n"/>
      <c r="G26" s="138" t="n"/>
    </row>
    <row r="27">
      <c r="F27" s="138" t="n"/>
      <c r="G27" s="138" t="n"/>
    </row>
    <row r="28">
      <c r="F28" s="138" t="n"/>
      <c r="G28" s="138" t="n"/>
    </row>
    <row r="29">
      <c r="F29" s="138" t="n"/>
      <c r="G29" s="138" t="n"/>
    </row>
    <row r="30">
      <c r="F30" s="138" t="n"/>
      <c r="G30" s="138" t="n"/>
    </row>
    <row r="31">
      <c r="F31" s="138" t="n"/>
      <c r="G31" s="138" t="n"/>
    </row>
    <row r="32">
      <c r="F32" s="138" t="n"/>
      <c r="G32" s="138" t="n"/>
    </row>
    <row r="33">
      <c r="F33" s="138" t="n"/>
      <c r="G33" s="138" t="n"/>
    </row>
    <row r="34">
      <c r="F34" s="138" t="n"/>
      <c r="G34" s="138" t="n"/>
    </row>
    <row r="35">
      <c r="E35" s="138" t="n"/>
      <c r="F35" s="138" t="n"/>
    </row>
    <row r="36">
      <c r="E36" s="138" t="n"/>
      <c r="F36" s="138" t="n"/>
    </row>
    <row r="37">
      <c r="E37" s="138" t="n"/>
    </row>
    <row r="38">
      <c r="E38" s="138" t="n"/>
    </row>
    <row r="39">
      <c r="E39" s="138" t="n"/>
    </row>
    <row r="40">
      <c r="E40" s="138" t="n"/>
    </row>
    <row r="41">
      <c r="E41" s="138" t="n"/>
    </row>
  </sheetData>
  <mergeCells count="6">
    <mergeCell ref="E17:H17"/>
    <mergeCell ref="B14:D14"/>
    <mergeCell ref="B22:D22"/>
    <mergeCell ref="B13:D13"/>
    <mergeCell ref="B21:D21"/>
    <mergeCell ref="B20:D20"/>
  </mergeCells>
  <pageMargins left="0.3937007874015748" right="0.3937007874015748" top="0.7480314960629921" bottom="0.7480314960629921" header="0.3149606299212598" footer="0.3149606299212598"/>
  <pageSetup orientation="portrait" paperSize="9"/>
  <headerFooter>
    <oddHeader/>
    <oddFooter>&amp;C&amp;"Calibri"&amp;12 &amp;K000000_x000d_# C2 – Confidenziale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G18"/>
  <sheetViews>
    <sheetView zoomScaleNormal="100" workbookViewId="0">
      <selection activeCell="A10" sqref="A10"/>
    </sheetView>
  </sheetViews>
  <sheetFormatPr baseColWidth="8" defaultColWidth="9.109375" defaultRowHeight="13.2"/>
  <cols>
    <col width="44.33203125" customWidth="1" style="157" min="1" max="1"/>
    <col width="13.5546875" bestFit="1" customWidth="1" style="157" min="2" max="2"/>
    <col width="13.5546875" customWidth="1" style="157" min="3" max="5"/>
    <col width="10.88671875" customWidth="1" style="157" min="6" max="6"/>
    <col width="9.109375" customWidth="1" style="157" min="7" max="8"/>
    <col width="36" customWidth="1" style="157" min="9" max="9"/>
    <col width="12.44140625" customWidth="1" style="157" min="10" max="10"/>
    <col width="11.6640625" customWidth="1" style="157" min="11" max="11"/>
    <col width="9.109375" customWidth="1" style="157" min="12" max="16384"/>
  </cols>
  <sheetData>
    <row r="1" ht="66.75" customHeight="1">
      <c r="A1" s="154" t="inlineStr">
        <is>
          <t>Condomini</t>
        </is>
      </c>
      <c r="B1" s="155" t="n"/>
      <c r="C1" s="156" t="inlineStr">
        <is>
          <t xml:space="preserve">Energia utile riscaldamento  </t>
        </is>
      </c>
      <c r="D1" s="156" t="inlineStr">
        <is>
          <t xml:space="preserve">Millesimi riscaldamento </t>
        </is>
      </c>
      <c r="E1" s="156" t="inlineStr">
        <is>
          <t xml:space="preserve">Energia utile acqua calda sanitaria </t>
        </is>
      </c>
      <c r="F1" s="156" t="inlineStr">
        <is>
          <t xml:space="preserve">Millesimi acqua calda sanitaria </t>
        </is>
      </c>
    </row>
    <row r="2" ht="19.5" customHeight="1" thickBot="1">
      <c r="A2" s="158" t="n"/>
      <c r="B2" s="159" t="n"/>
      <c r="C2" s="160" t="inlineStr">
        <is>
          <t>kWh</t>
        </is>
      </c>
      <c r="D2" s="161" t="inlineStr">
        <is>
          <t>Mill.</t>
        </is>
      </c>
      <c r="E2" s="161" t="inlineStr">
        <is>
          <t>kWh</t>
        </is>
      </c>
      <c r="F2" s="160" t="inlineStr">
        <is>
          <t>Mill.</t>
        </is>
      </c>
    </row>
    <row r="3">
      <c r="A3" s="162" t="inlineStr">
        <is>
          <t>TOTALE</t>
        </is>
      </c>
      <c r="B3" s="163" t="inlineStr">
        <is>
          <t>SUBALTERNO</t>
        </is>
      </c>
      <c r="C3" s="164">
        <f>SUM(C4:C15)</f>
        <v/>
      </c>
      <c r="D3" s="164">
        <f>SUM(D4:D15)</f>
        <v/>
      </c>
      <c r="E3" s="164">
        <f>SUM(E4:E15)</f>
        <v/>
      </c>
      <c r="F3" s="165">
        <f>SUM(F4:F15)</f>
        <v/>
      </c>
    </row>
    <row r="4" ht="13.8" customHeight="1">
      <c r="A4" s="166" t="n"/>
      <c r="B4" s="167" t="n"/>
      <c r="C4" s="168" t="n"/>
      <c r="D4" s="169">
        <f>C4/$C$3*1000</f>
        <v/>
      </c>
      <c r="E4" s="170" t="n"/>
      <c r="F4" s="169">
        <f>+E4/$E$3*1000</f>
        <v/>
      </c>
    </row>
    <row r="5" ht="13.8" customHeight="1">
      <c r="A5" s="171" t="n"/>
      <c r="B5" s="167" t="n"/>
      <c r="C5" s="170" t="n"/>
      <c r="D5" s="169">
        <f>C5/$C$3*1000</f>
        <v/>
      </c>
      <c r="E5" s="170" t="n"/>
      <c r="F5" s="169">
        <f>+E5/$E$3*1000</f>
        <v/>
      </c>
    </row>
    <row r="6" ht="13.8" customHeight="1">
      <c r="A6" s="166" t="n"/>
      <c r="B6" s="167" t="n"/>
      <c r="C6" s="170" t="n"/>
      <c r="D6" s="169">
        <f>C6/$C$3*1000</f>
        <v/>
      </c>
      <c r="E6" s="170" t="n"/>
      <c r="F6" s="169">
        <f>+E6/$E$3*1000</f>
        <v/>
      </c>
    </row>
    <row r="7" ht="13.8" customHeight="1">
      <c r="A7" s="171" t="n"/>
      <c r="B7" s="167" t="n"/>
      <c r="C7" s="170" t="n"/>
      <c r="D7" s="169">
        <f>C7/$C$3*1000</f>
        <v/>
      </c>
      <c r="E7" s="170" t="n"/>
      <c r="F7" s="169">
        <f>+E7/$E$3*1000</f>
        <v/>
      </c>
    </row>
    <row r="8" ht="13.8" customHeight="1">
      <c r="A8" s="171" t="n"/>
      <c r="B8" s="167" t="n"/>
      <c r="C8" s="170" t="n"/>
      <c r="D8" s="169">
        <f>C8/$C$3*1000</f>
        <v/>
      </c>
      <c r="E8" s="170" t="n"/>
      <c r="F8" s="169">
        <f>+E8/$E$3*1000</f>
        <v/>
      </c>
    </row>
    <row r="9" ht="13.8" customHeight="1">
      <c r="A9" s="166" t="n"/>
      <c r="B9" s="167" t="n"/>
      <c r="C9" s="170" t="n"/>
      <c r="D9" s="169">
        <f>C9/$C$3*1000</f>
        <v/>
      </c>
      <c r="E9" s="170" t="n"/>
      <c r="F9" s="169">
        <f>+E9/$E$3*1000</f>
        <v/>
      </c>
    </row>
    <row r="10" ht="13.8" customHeight="1">
      <c r="A10" s="171" t="n"/>
      <c r="B10" s="167" t="n"/>
      <c r="C10" s="170" t="n"/>
      <c r="D10" s="169">
        <f>C10/$C$3*1000</f>
        <v/>
      </c>
      <c r="E10" s="170" t="n"/>
      <c r="F10" s="169">
        <f>+E10/$E$3*1000</f>
        <v/>
      </c>
    </row>
    <row r="11" ht="13.8" customHeight="1">
      <c r="A11" s="166" t="n"/>
      <c r="B11" s="167" t="n"/>
      <c r="C11" s="170" t="n"/>
      <c r="D11" s="169">
        <f>C11/$C$3*1000</f>
        <v/>
      </c>
      <c r="E11" s="170" t="n"/>
      <c r="F11" s="169">
        <f>+E11/$E$3*1000</f>
        <v/>
      </c>
    </row>
    <row r="12" ht="13.8" customHeight="1">
      <c r="A12" s="166" t="n"/>
      <c r="B12" s="167" t="n"/>
      <c r="C12" s="170" t="n"/>
      <c r="D12" s="169">
        <f>C12/$C$3*1000</f>
        <v/>
      </c>
      <c r="E12" s="170" t="n"/>
      <c r="F12" s="169">
        <f>+E12/$E$3*1000</f>
        <v/>
      </c>
    </row>
    <row r="13" ht="13.8" customHeight="1">
      <c r="A13" s="171" t="n"/>
      <c r="B13" s="167" t="n"/>
      <c r="C13" s="170" t="n"/>
      <c r="D13" s="169">
        <f>C13/$C$3*1000</f>
        <v/>
      </c>
      <c r="E13" s="170" t="n"/>
      <c r="F13" s="169">
        <f>+E13/$E$3*1000</f>
        <v/>
      </c>
    </row>
    <row r="14">
      <c r="A14" s="172" t="n"/>
      <c r="B14" s="173" t="n"/>
      <c r="C14" s="170" t="n"/>
      <c r="D14" s="169">
        <f>C14/$C$3*1000</f>
        <v/>
      </c>
      <c r="E14" s="170" t="n"/>
      <c r="F14" s="169">
        <f>+E14/$E$3*1000</f>
        <v/>
      </c>
    </row>
    <row r="15">
      <c r="A15" s="172" t="n"/>
      <c r="B15" s="173" t="n"/>
      <c r="C15" s="168" t="n"/>
      <c r="D15" s="169">
        <f>C15/$C$3*1000</f>
        <v/>
      </c>
      <c r="E15" s="170" t="n"/>
      <c r="F15" s="169">
        <f>+E15/$E$3*1000</f>
        <v/>
      </c>
    </row>
    <row r="16">
      <c r="A16" s="174" t="n"/>
      <c r="B16" s="159" t="n"/>
      <c r="C16" s="175" t="n"/>
      <c r="D16" s="159" t="n"/>
      <c r="E16" s="159" t="n"/>
      <c r="F16" s="159" t="n"/>
      <c r="G16" s="159" t="n"/>
    </row>
    <row r="17">
      <c r="C17" s="176" t="inlineStr">
        <is>
          <t>kcli</t>
        </is>
      </c>
      <c r="D17" s="177" t="n"/>
      <c r="E17" s="176" t="inlineStr">
        <is>
          <t>kacs</t>
        </is>
      </c>
    </row>
    <row r="18">
      <c r="C18" s="368">
        <f>+C3/(C3+E3)</f>
        <v/>
      </c>
      <c r="D18" s="369" t="n"/>
      <c r="E18" s="368">
        <f>+E3/(C3+E3)</f>
        <v/>
      </c>
    </row>
  </sheetData>
  <pageMargins left="0.7086614173228347" right="0.7086614173228347" top="0.7480314960629921" bottom="0.7480314960629921" header="0.3149606299212598" footer="0.3149606299212598"/>
  <pageSetup orientation="landscape" paperSize="9" horizontalDpi="300" verticalDpi="300"/>
  <headerFooter>
    <oddHeader>&amp;C&amp;F&amp;R&amp;D</oddHeader>
    <oddFooter>&amp;C&amp;"Calibri"&amp;12 &amp;K000000_x000d_# C2 – Confidenziale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Pernigo Michele</dc:creator>
  <dcterms:created xsi:type="dcterms:W3CDTF">2025-02-26T07:52:37Z</dcterms:created>
  <dcterms:modified xsi:type="dcterms:W3CDTF">2026-03-23T12:17:31Z</dcterms:modified>
  <cp:lastModifiedBy>Pernigo Michele</cp:lastModifiedBy>
  <cp:lastPrinted>2026-03-11T16:42:43Z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9367148-830c-449b-a5f4-ca68a83d6bf3_Enabled" fmtid="{D5CDD505-2E9C-101B-9397-08002B2CF9AE}" pid="2">
    <vt:lpwstr>true</vt:lpwstr>
  </property>
  <property name="MSIP_Label_09367148-830c-449b-a5f4-ca68a83d6bf3_SetDate" fmtid="{D5CDD505-2E9C-101B-9397-08002B2CF9AE}" pid="3">
    <vt:lpwstr>2025-02-26T07:54:06Z</vt:lpwstr>
  </property>
  <property name="MSIP_Label_09367148-830c-449b-a5f4-ca68a83d6bf3_Method" fmtid="{D5CDD505-2E9C-101B-9397-08002B2CF9AE}" pid="4">
    <vt:lpwstr>Privileged</vt:lpwstr>
  </property>
  <property name="MSIP_Label_09367148-830c-449b-a5f4-ca68a83d6bf3_Name" fmtid="{D5CDD505-2E9C-101B-9397-08002B2CF9AE}" pid="5">
    <vt:lpwstr>C2 - Confidenziale</vt:lpwstr>
  </property>
  <property name="MSIP_Label_09367148-830c-449b-a5f4-ca68a83d6bf3_SiteId" fmtid="{D5CDD505-2E9C-101B-9397-08002B2CF9AE}" pid="6">
    <vt:lpwstr>41da0b98-b391-44f8-bc8a-ff0483c320c3</vt:lpwstr>
  </property>
  <property name="MSIP_Label_09367148-830c-449b-a5f4-ca68a83d6bf3_ActionId" fmtid="{D5CDD505-2E9C-101B-9397-08002B2CF9AE}" pid="7">
    <vt:lpwstr>a239443a-1f23-4ea0-9b52-6769870b2e31</vt:lpwstr>
  </property>
  <property name="MSIP_Label_09367148-830c-449b-a5f4-ca68a83d6bf3_ContentBits" fmtid="{D5CDD505-2E9C-101B-9397-08002B2CF9AE}" pid="8">
    <vt:lpwstr>2</vt:lpwstr>
  </property>
  <property name="MSIP_Label_09367148-830c-449b-a5f4-ca68a83d6bf3_Tag" fmtid="{D5CDD505-2E9C-101B-9397-08002B2CF9AE}" pid="9">
    <vt:lpwstr>10, 0, 1, 1</vt:lpwstr>
  </property>
  <property name="ContentTypeId" fmtid="{D5CDD505-2E9C-101B-9397-08002B2CF9AE}" pid="10">
    <vt:lpwstr>0x01010058D2B20A8CBFFF4A8A9DEBBCB6FB3FA4</vt:lpwstr>
  </property>
</Properties>
</file>